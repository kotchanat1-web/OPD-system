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 Upข้อมูล ไตเทียม\5.สต๊อคสินค้า\"/>
    </mc:Choice>
  </mc:AlternateContent>
  <xr:revisionPtr revIDLastSave="0" documentId="13_ncr:1_{5DD57D9B-9892-4A53-BE83-67B4717A4D27}" xr6:coauthVersionLast="47" xr6:coauthVersionMax="47" xr10:uidLastSave="{00000000-0000-0000-0000-000000000000}"/>
  <bookViews>
    <workbookView xWindow="-120" yWindow="-120" windowWidth="29040" windowHeight="15720" xr2:uid="{1916ABBB-ADF4-45CF-AF3A-0D0CDFD9998C}"/>
  </bookViews>
  <sheets>
    <sheet name="1.Stock new2569" sheetId="8" r:id="rId1"/>
    <sheet name="ชื่อยา" sheetId="2" state="hidden" r:id="rId2"/>
    <sheet name="ยารอบใหม่ รอลงไฟล์" sheetId="7" state="hidden" r:id="rId3"/>
  </sheets>
  <definedNames>
    <definedName name="_xlnm._FilterDatabase" localSheetId="0" hidden="1">'1.Stock new2569'!$A$2:$Z$421</definedName>
    <definedName name="_xlnm._FilterDatabase" localSheetId="1" hidden="1">ชื่อยา!$A$1:$V$140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23" i="8" l="1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352" i="8"/>
  <c r="R353" i="8"/>
  <c r="R354" i="8"/>
  <c r="R355" i="8"/>
  <c r="R356" i="8"/>
  <c r="R357" i="8"/>
  <c r="R358" i="8"/>
  <c r="R359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07" i="8"/>
  <c r="R108" i="8"/>
  <c r="R109" i="8"/>
  <c r="R110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23" i="8"/>
  <c r="O292" i="8"/>
  <c r="R292" i="8" s="1"/>
  <c r="O290" i="8"/>
  <c r="R290" i="8" s="1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1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273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30" i="8"/>
  <c r="R131" i="8"/>
  <c r="R132" i="8"/>
  <c r="R133" i="8"/>
  <c r="R134" i="8"/>
  <c r="R135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6" i="8"/>
  <c r="R5" i="8"/>
  <c r="R4" i="8"/>
  <c r="R3" i="8"/>
  <c r="C232" i="8" l="1" a="1"/>
  <c r="C232" i="8" s="1"/>
  <c r="O7" i="8" l="1"/>
  <c r="R7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<sst xmlns="http://schemas.openxmlformats.org/spreadsheetml/2006/main" count="3189" uniqueCount="952">
  <si>
    <t>Cetirizine</t>
  </si>
  <si>
    <t>Chlorpheniramine</t>
  </si>
  <si>
    <t>Salbutamol</t>
  </si>
  <si>
    <t>Bromhexine</t>
  </si>
  <si>
    <t>Ibuprofen</t>
  </si>
  <si>
    <t>Acetylcysteine</t>
  </si>
  <si>
    <t>Amoxicillin</t>
  </si>
  <si>
    <t>Augmentin</t>
  </si>
  <si>
    <t>Roxithromycin</t>
  </si>
  <si>
    <t>Azithromycin</t>
  </si>
  <si>
    <t>Paracetamol</t>
  </si>
  <si>
    <t>Prednisolone</t>
  </si>
  <si>
    <t>Enalapril</t>
  </si>
  <si>
    <t>Doxazosin</t>
  </si>
  <si>
    <t>Levothyroxine</t>
  </si>
  <si>
    <t>Glipizide</t>
  </si>
  <si>
    <t>Smecta</t>
  </si>
  <si>
    <t>Senna</t>
  </si>
  <si>
    <t>Hydroxyzine</t>
  </si>
  <si>
    <t>Simvastatin</t>
  </si>
  <si>
    <t>Omeprazole</t>
  </si>
  <si>
    <t>Clotrimazole</t>
  </si>
  <si>
    <t>Amlodipine</t>
  </si>
  <si>
    <t>Losartan</t>
  </si>
  <si>
    <t>Metformin</t>
  </si>
  <si>
    <t>Ciprofloxacin</t>
  </si>
  <si>
    <t>Domperidone</t>
  </si>
  <si>
    <t>Daflon</t>
  </si>
  <si>
    <t>Doxycycline</t>
  </si>
  <si>
    <t>Dimenhydrinate</t>
  </si>
  <si>
    <t>Lidocaine</t>
  </si>
  <si>
    <t>generic name</t>
  </si>
  <si>
    <t>mg/ml</t>
  </si>
  <si>
    <t>ชื่อยี่ห้อ / บริษัท</t>
  </si>
  <si>
    <t>ราคาซื้อ</t>
  </si>
  <si>
    <t>จำนวนต่อหน่วยซื้อ</t>
  </si>
  <si>
    <t>ลักษณะ</t>
  </si>
  <si>
    <t>ราคาต่อหน่วยซื้อ</t>
  </si>
  <si>
    <t>จำนวนต่อหน่วยย่อย</t>
  </si>
  <si>
    <t>ราคาต่อหน่วย</t>
  </si>
  <si>
    <t>จำนวนต่อหน่วยย่อยสุด</t>
  </si>
  <si>
    <t>ราคาต่อหน่วยย่อยสุด</t>
  </si>
  <si>
    <t>ราคาขายกล่อง/แผง</t>
  </si>
  <si>
    <t>ราคาขาย/หน่วย</t>
  </si>
  <si>
    <t>จำนวน</t>
  </si>
  <si>
    <t>คงเหลือ</t>
  </si>
  <si>
    <t>ราคาขายพลอย</t>
  </si>
  <si>
    <t>Acyclovir 5%</t>
  </si>
  <si>
    <t>MONIRAX</t>
  </si>
  <si>
    <t>โหล</t>
  </si>
  <si>
    <t>กล่อง</t>
  </si>
  <si>
    <t>หลอด</t>
  </si>
  <si>
    <t>Alum milk</t>
  </si>
  <si>
    <t>Bowa Gel</t>
  </si>
  <si>
    <t>ขวด</t>
  </si>
  <si>
    <t>Amitriptyline</t>
  </si>
  <si>
    <t>Polytanol / CPL</t>
  </si>
  <si>
    <t>แผง</t>
  </si>
  <si>
    <t>เม็ด</t>
  </si>
  <si>
    <t>Amlopine / Berlin</t>
  </si>
  <si>
    <t>Amphetamine Test</t>
  </si>
  <si>
    <t>-</t>
  </si>
  <si>
    <t>Chemtrue</t>
  </si>
  <si>
    <t>ชุุด</t>
  </si>
  <si>
    <t>ชุด</t>
  </si>
  <si>
    <t>Amk</t>
  </si>
  <si>
    <t>Fleming</t>
  </si>
  <si>
    <t>Azithro / M&amp;H</t>
  </si>
  <si>
    <t>Berodual (NB)</t>
  </si>
  <si>
    <t>Inhalex</t>
  </si>
  <si>
    <t>Betahistine Mesylate</t>
  </si>
  <si>
    <t>Behistin</t>
  </si>
  <si>
    <t>Betamethasone neomycin</t>
  </si>
  <si>
    <t>Bet-N Star / 7 ดาว</t>
  </si>
  <si>
    <t>Betamethasone,Salicylic Acid</t>
  </si>
  <si>
    <t>Tenosalic / T-man</t>
  </si>
  <si>
    <t>Brown Mixture</t>
  </si>
  <si>
    <t>ไอน้ำดำเสือดาว 60ML</t>
  </si>
  <si>
    <t>Mucocin / สหแพทย์</t>
  </si>
  <si>
    <t>Ceftriaxone</t>
  </si>
  <si>
    <t>Ceftrex IG I.V. 1AMP+10ML</t>
  </si>
  <si>
    <t>Vial</t>
  </si>
  <si>
    <t>Celecoxib</t>
  </si>
  <si>
    <t>Painnex / Millimed</t>
  </si>
  <si>
    <t>Cetirizine / สหแพทย์</t>
  </si>
  <si>
    <t>T.man</t>
  </si>
  <si>
    <t>กระปุก</t>
  </si>
  <si>
    <t>Floxcipro-500</t>
  </si>
  <si>
    <t>Lyma Cream</t>
  </si>
  <si>
    <t>Clotrimazole+Betamethasone</t>
  </si>
  <si>
    <t>Fango-BD / BKD</t>
  </si>
  <si>
    <t>Dextromethorphan+GG</t>
  </si>
  <si>
    <t>Nortussln</t>
  </si>
  <si>
    <t>Dicloxacillin</t>
  </si>
  <si>
    <t>Dorox</t>
  </si>
  <si>
    <t>Divomit / L.B.S</t>
  </si>
  <si>
    <t>Ampoules</t>
  </si>
  <si>
    <t>Cardoxa</t>
  </si>
  <si>
    <t>Doxy Cap</t>
  </si>
  <si>
    <t>Anapril / Berlin</t>
  </si>
  <si>
    <t>Etoricoxib</t>
  </si>
  <si>
    <t>Arcona / M&amp;H</t>
  </si>
  <si>
    <t>Fexofenadine</t>
  </si>
  <si>
    <t>Avafast / Millimed</t>
  </si>
  <si>
    <t>กล่่อง</t>
  </si>
  <si>
    <t>100 (Avafast)120 (Fena)</t>
  </si>
  <si>
    <t>Glipimed</t>
  </si>
  <si>
    <t>Gofen</t>
  </si>
  <si>
    <t>Atarax / สหแพทย์</t>
  </si>
  <si>
    <t>Ibrofen / TO</t>
  </si>
  <si>
    <t>Lincomycin</t>
  </si>
  <si>
    <t>Vesco</t>
  </si>
  <si>
    <t>ครั้ง</t>
  </si>
  <si>
    <t>Loratadine</t>
  </si>
  <si>
    <t>Loreze clearcap / MEGA</t>
  </si>
  <si>
    <t>110-115</t>
  </si>
  <si>
    <t>Lanzaar / Berlin</t>
  </si>
  <si>
    <t>Mefenamic ACID</t>
  </si>
  <si>
    <t>Ponstan</t>
  </si>
  <si>
    <t>55-65</t>
  </si>
  <si>
    <t>สหแพทย์</t>
  </si>
  <si>
    <t>Siamformet 500 mg.</t>
  </si>
  <si>
    <t>Mom</t>
  </si>
  <si>
    <t>Metoclopramide HCI</t>
  </si>
  <si>
    <t>Medicplex / สหแพทย์</t>
  </si>
  <si>
    <t>Naproxen</t>
  </si>
  <si>
    <t>ชุมชน</t>
  </si>
  <si>
    <t>Nasal Swab Covid / FIU / RSV</t>
  </si>
  <si>
    <t>Glca 3 in 1 test</t>
  </si>
  <si>
    <t>Moprix</t>
  </si>
  <si>
    <t>Dosate</t>
  </si>
  <si>
    <t>Norflox</t>
  </si>
  <si>
    <t>Crossa / T-man</t>
  </si>
  <si>
    <t>Ta oral paste</t>
  </si>
  <si>
    <t>Orrepaste</t>
  </si>
  <si>
    <t>Tylenol 500</t>
  </si>
  <si>
    <t>Asumol</t>
  </si>
  <si>
    <t>Paracetamol+Orphenadrine</t>
  </si>
  <si>
    <t>Norgesic / สหแพทย์</t>
  </si>
  <si>
    <t>กระปุุก</t>
  </si>
  <si>
    <t>Asmasal</t>
  </si>
  <si>
    <t>เม็็ด</t>
  </si>
  <si>
    <t>Senolax</t>
  </si>
  <si>
    <t>Simeticone</t>
  </si>
  <si>
    <t>Air-x</t>
  </si>
  <si>
    <t>Zimmex</t>
  </si>
  <si>
    <t>Sodium Bicarbonate</t>
  </si>
  <si>
    <t>Sodamint UD</t>
  </si>
  <si>
    <t>Triamcinolone 0.2%</t>
  </si>
  <si>
    <t>Zyno Cream 0.02% / BKD</t>
  </si>
  <si>
    <t>Triamcinolone 0.1%</t>
  </si>
  <si>
    <t>Betji-cort</t>
  </si>
  <si>
    <t>Urea 20%</t>
  </si>
  <si>
    <t>Dermexcel 20% / 2M</t>
  </si>
  <si>
    <t>Vitamin B complex</t>
  </si>
  <si>
    <t>Thyrosit 100</t>
  </si>
  <si>
    <t>ยาบำรุง(ของแถม)</t>
  </si>
  <si>
    <t>Kachaa Plus</t>
  </si>
  <si>
    <t>ชิ้น</t>
  </si>
  <si>
    <t>ยาอมแก้ระคายคอ(ของแถม)</t>
  </si>
  <si>
    <t>Basina</t>
  </si>
  <si>
    <t>ชิ้ิ้น</t>
  </si>
  <si>
    <t>ซอง</t>
  </si>
  <si>
    <t>Dexamethasone (INJ)</t>
  </si>
  <si>
    <t>Phenodex</t>
  </si>
  <si>
    <t>Dimenhyclinate</t>
  </si>
  <si>
    <t>Pregnaney test</t>
  </si>
  <si>
    <t>Glowy</t>
  </si>
  <si>
    <t>Hydrochlorothiazide Tablets</t>
  </si>
  <si>
    <t>HCTZ / GPO</t>
  </si>
  <si>
    <t>ยาชา (INJ)</t>
  </si>
  <si>
    <t>Dicolfenac</t>
  </si>
  <si>
    <t>Bufenac</t>
  </si>
  <si>
    <t>Acyclovir</t>
  </si>
  <si>
    <t>Clinovir 400 / bkd</t>
  </si>
  <si>
    <t>Migana</t>
  </si>
  <si>
    <t>Migana S/C / TM.</t>
  </si>
  <si>
    <t>Tolperisone HCI</t>
  </si>
  <si>
    <t>SPAMU tablet</t>
  </si>
  <si>
    <t>Hydralazine HCI</t>
  </si>
  <si>
    <t>CESOLINE W</t>
  </si>
  <si>
    <t>Sulfamethoxazole+Trimethoprim</t>
  </si>
  <si>
    <t>MEZINE Forte</t>
  </si>
  <si>
    <t>Salbutamol (As Sulfate) 2.0 mg</t>
  </si>
  <si>
    <t>SALDOL</t>
  </si>
  <si>
    <t>แพ๊ค</t>
  </si>
  <si>
    <t>Prednisolone 5 mg</t>
  </si>
  <si>
    <t>Dextromethorphan HBr</t>
  </si>
  <si>
    <t>Flavonoids Expressed as hesperidin</t>
  </si>
  <si>
    <t>Diosmin</t>
  </si>
  <si>
    <t>Hydrocortisone Acetate</t>
  </si>
  <si>
    <t>Zinc Oxide</t>
  </si>
  <si>
    <t>แท่ง</t>
  </si>
  <si>
    <t>OREDA</t>
  </si>
  <si>
    <t>Oreda R.O.</t>
  </si>
  <si>
    <t>ยาลอต 2</t>
  </si>
  <si>
    <t>Generic Name</t>
  </si>
  <si>
    <t>Amoxycillin</t>
  </si>
  <si>
    <t>moxipharm / สหแพทย์</t>
  </si>
  <si>
    <t>Amzithromycin</t>
  </si>
  <si>
    <t>Azithro</t>
  </si>
  <si>
    <t>Calcium Carbonate</t>
  </si>
  <si>
    <t>Caltab</t>
  </si>
  <si>
    <t>Cemol / central polytrading</t>
  </si>
  <si>
    <t>Chlor-oph</t>
  </si>
  <si>
    <t>Chlorpheniramine injection</t>
  </si>
  <si>
    <t>A.N.B.</t>
  </si>
  <si>
    <t>Diclofenac INJ</t>
  </si>
  <si>
    <t>เวสโกแนค</t>
  </si>
  <si>
    <t>Dicloxa</t>
  </si>
  <si>
    <t>ORS (รสส้ม)</t>
  </si>
  <si>
    <t>20 g</t>
  </si>
  <si>
    <t>D-LYTE</t>
  </si>
  <si>
    <t>Amoxicllin</t>
  </si>
  <si>
    <t>GOFEBN</t>
  </si>
  <si>
    <t>Hista-oph</t>
  </si>
  <si>
    <t>Hyoscine INJ</t>
  </si>
  <si>
    <t>Kanin</t>
  </si>
  <si>
    <t>Lac-oph</t>
  </si>
  <si>
    <t>Miracid</t>
  </si>
  <si>
    <t>Mucilin SF</t>
  </si>
  <si>
    <t>Berlin</t>
  </si>
  <si>
    <t>MYSOVEN</t>
  </si>
  <si>
    <t>Omeprazole For lnjection</t>
  </si>
  <si>
    <t>Omeppi</t>
  </si>
  <si>
    <t>vial</t>
  </si>
  <si>
    <t>Celebrex</t>
  </si>
  <si>
    <t>Painex</t>
  </si>
  <si>
    <t>Poliroxin</t>
  </si>
  <si>
    <t>Tramadol</t>
  </si>
  <si>
    <t>TRAMODA</t>
  </si>
  <si>
    <t>Etoricoxib 90gm</t>
  </si>
  <si>
    <t>Etomed 90</t>
  </si>
  <si>
    <t>Manidipine Hydrochloride</t>
  </si>
  <si>
    <t>Cardiplot</t>
  </si>
  <si>
    <t>Fusidic acid</t>
  </si>
  <si>
    <t>Fucidin</t>
  </si>
  <si>
    <t>T.man PHARMA</t>
  </si>
  <si>
    <t>Lac-OPH</t>
  </si>
  <si>
    <t>ชื่อการค้า</t>
  </si>
  <si>
    <t>GPO</t>
  </si>
  <si>
    <t>สหแพทย์ Medic pharma</t>
  </si>
  <si>
    <t>daflon 500</t>
  </si>
  <si>
    <t>Dimenhydlinate</t>
  </si>
  <si>
    <t>CP continental Phr.co.ltd</t>
  </si>
  <si>
    <t>Spascopan</t>
  </si>
  <si>
    <t>รายละเอียด</t>
  </si>
  <si>
    <t>จำนวนเงิน</t>
  </si>
  <si>
    <t>Description</t>
  </si>
  <si>
    <t>Qty</t>
  </si>
  <si>
    <t>Unit</t>
  </si>
  <si>
    <t>Amount</t>
  </si>
  <si>
    <t>Fairymed Foley 16 2way ขายเป็นเส้น</t>
  </si>
  <si>
    <t>3 เส้น</t>
  </si>
  <si>
    <t>Fairymed Foley 18 2way ขายเป็นเส้น</t>
  </si>
  <si>
    <t>Nss 100ml iv ไม่มีset anb ป้ายแดง</t>
  </si>
  <si>
    <t>20 ขวด</t>
  </si>
  <si>
    <t>Sodium chloride ini (nss 5ml) Amanta Hลอดพลาสติด</t>
  </si>
  <si>
    <t>4 แผง5หลอด</t>
  </si>
  <si>
    <t>Syringe 1ml เยโซเมด Yesomed ไม่ติดเข็ม</t>
  </si>
  <si>
    <t>1 กล่อง100ชิ้น</t>
  </si>
  <si>
    <t>30x1/2"" NIPRO เข็ม" **ระวังขายผิด**</t>
  </si>
  <si>
    <t>1 กล่อง</t>
  </si>
  <si>
    <t>Oxygen mask+bag ผู้ไหญ่ galemed ref 3675</t>
  </si>
  <si>
    <t>3 ใบ</t>
  </si>
  <si>
    <t>Urine bag 1603 125cm draina1ง 21.</t>
  </si>
  <si>
    <t>25 อัน</t>
  </si>
  <si>
    <t>Greetmed infusion set น้ำเกลือ ใช้กับเครื่องไม่ได้</t>
  </si>
  <si>
    <t>20 แผง 10 เม็ด</t>
  </si>
  <si>
    <t>Femarate 200mg ฟีมาเลต ขายเป็นแผง</t>
  </si>
  <si>
    <t>1 กล่อง50หลอ</t>
  </si>
  <si>
    <t>Trivit-b ฉีด 3ml (vitamin bl-b6-b12)</t>
  </si>
  <si>
    <t>Ampavit 1000mcg กล่อง10หลอด</t>
  </si>
  <si>
    <t>3 ชุด</t>
  </si>
  <si>
    <t>Transamin inj 250 mg/5ml ขายเป็นหลอด</t>
  </si>
  <si>
    <t>5 หลอด</t>
  </si>
  <si>
    <t>รายการ</t>
  </si>
  <si>
    <t>จำนวน หน่วย</t>
  </si>
  <si>
    <t>ราคขหน่วย</t>
  </si>
  <si>
    <t>MYOXAN IIN TO SOXIOS (TOLPERISONE) B02</t>
  </si>
  <si>
    <t>1.00กล่อง &lt;</t>
  </si>
  <si>
    <t>ONE GERD IOML สูตร GAVISCON 12ชอง/กล่อง</t>
  </si>
  <si>
    <t>2.00กล่อง /</t>
  </si>
  <si>
    <t>POLYTANOL 10MG S0X10'S (</t>
  </si>
  <si>
    <t>TENSOPLASTIC QUIAIX1000S TOI</t>
  </si>
  <si>
    <t>TIZINE SYRUP 60ML Sถสัม (BLH] (CETIRIZINE) V03</t>
  </si>
  <si>
    <t>3.00 ขวด</t>
  </si>
  <si>
    <t>VESCOPOLAMINE INI SOXIML [VESCO(HYOSCINE)</t>
  </si>
  <si>
    <t>20.00 AMP</t>
  </si>
  <si>
    <t>ZIMMEX 10MG 3X10'S(SIMVASTATIN)</t>
  </si>
  <si>
    <t>3.00กล่อง</t>
  </si>
  <si>
    <t>ZIMMEX 20MG 3X10SISIMVASTATIN)******ซิ่น G</t>
  </si>
  <si>
    <t>2.00กล่อง &lt;</t>
  </si>
  <si>
    <t>รากขหน่วย</t>
  </si>
  <si>
    <t>/ AMBES 10 MG [GPO] 10X10S(W1)(AMLODIPINE 10 MG)</t>
  </si>
  <si>
    <t>2.00กล่อง</t>
  </si>
  <si>
    <t>AMBES 5 MG [GPO] 10XIUS(ม่วง)(AMLODIPINE SMG)</t>
  </si>
  <si>
    <t>AMOXY 12SMG dinล่อง)STAW [7ค13] GOA</t>
  </si>
  <si>
    <t>2.00 ขวด</t>
  </si>
  <si>
    <t>AMOXY 250MG DRY รสส้ม (เปลือย) (MANMOX) 250MG</t>
  </si>
  <si>
    <t>ATK HIP 2 IN I (HIP BIOTECH] I TEST ((UWA10) (80</t>
  </si>
  <si>
    <t>2.00 แพ็ค 10</t>
  </si>
  <si>
    <t>BEHISTIN 12 MG สูตร MERISLON 50X10S [CPL]</t>
  </si>
  <si>
    <t>10.00 แผง</t>
  </si>
  <si>
    <t>BEHISTIN 6 MG สุด: MERISLON 50XIOS [CPL]</t>
  </si>
  <si>
    <t>BERAMOL แดN SYRUP 60CC(PARA) VO1</t>
  </si>
  <si>
    <t>BOWA GEL 240 ML ***ราคาใหม่</t>
  </si>
  <si>
    <t>5.00 ขวด</t>
  </si>
  <si>
    <t>BROMMY SYRUP 60ML SCI STRAW BLH]</t>
  </si>
  <si>
    <t>4.00 ขวด</t>
  </si>
  <si>
    <t>BUFLEX SUSP 60CC รส ส้ม (IBUPROFEN) ****ราคาพิเศษ</t>
  </si>
  <si>
    <t>CARDIPLOT 20MG 10X10'S สูตรMADIPLOT (BERLIN]</t>
  </si>
  <si>
    <t>1.00กล่อง</t>
  </si>
  <si>
    <t>CLINOVIR 400 5'S[BKD] (ACYCLOVIR)</t>
  </si>
  <si>
    <t>DEWAX 1100M 15ML(docusate sodium) A03</t>
  </si>
  <si>
    <t>DICLOFENAC 25 MG 10000S ชมฑูเข้ม [VESCO] ******ขึ้น</t>
  </si>
  <si>
    <t>1.00กป</t>
  </si>
  <si>
    <t>DIMENHIDINATEURS 100X10'S D01</t>
  </si>
  <si>
    <t>20.00 แผง</t>
  </si>
  <si>
    <t>GABAPENTIN GPO 100MG 10XIOS(10))&gt;&gt;&gt;&gt;&gt;&gt;230 G</t>
  </si>
  <si>
    <t>1.00 กล่อง</t>
  </si>
  <si>
    <t>GICA 3 INI TEST RO FLU A/B +COVID-19 ATK</t>
  </si>
  <si>
    <t>10.00 กล่อง</t>
  </si>
  <si>
    <t>BROFEN 400MG TO 50X10'S (IBUPROFEN 400MG</t>
  </si>
  <si>
    <t>IADIN 0.05%SPRAY (OXYMETAZOLINE)</t>
  </si>
  <si>
    <t>LANZAAR 50MG 10X10S[BERLIN] (LOSARTAN) G01</t>
  </si>
  <si>
    <t>MANTAB 50X10'S (T-MAN](CETIRIZINE) D02</t>
  </si>
  <si>
    <t>MIRACID 20MG 14S(OMEPRAZOLE) F01</t>
  </si>
  <si>
    <t>322,50</t>
  </si>
  <si>
    <t>ราคาหน่วย</t>
  </si>
  <si>
    <t>BACTIGRAS IXIO แผ่น******//Bะ (CHLORHENIDINE GRAS DRE</t>
  </si>
  <si>
    <t>CANDINOX,100MG 6'S(CLOTRIMAZOLE)</t>
  </si>
  <si>
    <t>CHLOR-OPH 5CC (ขายขาด) (CHLORAM)</t>
  </si>
  <si>
    <t>DOXY CAP 50X10'S</t>
  </si>
  <si>
    <t>3.00 แผง</t>
  </si>
  <si>
    <t>POLY-OPH 5CC (NEO,POLYMYXIN B,GRAMICI</t>
  </si>
  <si>
    <t>ZIMMEX 20MG 3X10S(SIMVASTATIN) ****</t>
  </si>
  <si>
    <t>2.00 กล่อง</t>
  </si>
  <si>
    <t>CARATEN 6.25 MG 10X10/S [BERLIN] (CARVEDILOL)</t>
  </si>
  <si>
    <t>1.00 แผง</t>
  </si>
  <si>
    <t>AIR-X ส้ม SOX10S(SIMETICONE) F</t>
  </si>
  <si>
    <t>ALEREST SYRUP 60ML [ชุมชน) (CETIRIZINE) V03</t>
  </si>
  <si>
    <t>ALLOPURINOL300MG 50X10'S(XANOL)[CPL] E01</t>
  </si>
  <si>
    <t>ASOVON SYRUP 60ML[MS] (BROMHEXINE 4MG) V01</t>
  </si>
  <si>
    <t>BERAMOL แดN SYRUP 60CC(PARA) V01</t>
  </si>
  <si>
    <t>BUFLEX SUSP 60CC รส ส้ม เปลื้อย(TBUPROFEN) 202</t>
  </si>
  <si>
    <t>CARDOXA 2MG 10X10S(ของใน)(DOXAZOSIN) G</t>
  </si>
  <si>
    <t>COLCHICINE LILLY 10X10S A</t>
  </si>
  <si>
    <t>PAINNEX 200MG 3X10'S สูตร CELEBREX [MILLIMED]</t>
  </si>
  <si>
    <t>ZIMMEX 10MG 3X10S(SIMVASTATIN) G</t>
  </si>
  <si>
    <t>5.00กล่อง</t>
  </si>
  <si>
    <t>ชื่อสินค้า</t>
  </si>
  <si>
    <t>หน่วยละ</t>
  </si>
  <si>
    <t>Oxygen mask+bag N1111 galemed ref 3675</t>
  </si>
  <si>
    <t>2 ชุด</t>
  </si>
  <si>
    <t>Gauze drain sterile hivan ขายเป็นชิ้น</t>
  </si>
  <si>
    <t>20 ชิ้น</t>
  </si>
  <si>
    <t>Conforming bandage 4"x5yd imex</t>
  </si>
  <si>
    <t>12 ม้วน</t>
  </si>
  <si>
    <t>Oxygen canula ผู้ใหญ่ solida</t>
  </si>
  <si>
    <t>20 เส้น</t>
  </si>
  <si>
    <t>Lintech top dressing extra 4"x6" ไม่sterile</t>
  </si>
  <si>
    <t>1 ห่อ50ชิ้น</t>
  </si>
  <si>
    <t>Lintech top dressing extra 3"x6" ไม่sterile</t>
  </si>
  <si>
    <t>IV-cathoter 24Gx3/4 นิ้ว nipro ขายเป็นอัน</t>
  </si>
  <si>
    <t>50 อัน</t>
  </si>
  <si>
    <t>Tigerplast Cariband cohesive 2.5cmx2m</t>
  </si>
  <si>
    <t>1 ม้วน</t>
  </si>
  <si>
    <t>Iliadin nasal decongest spray ittlรย์ 0.05%</t>
  </si>
  <si>
    <t>1 ขวด</t>
  </si>
  <si>
    <t>Metoclor injection 2ml ขายเป็นหลอด</t>
  </si>
  <si>
    <t>10 ทติบิติ</t>
  </si>
  <si>
    <t>Acetin 200mg ขายเป็นซอง</t>
  </si>
  <si>
    <t>50 ซอง</t>
  </si>
  <si>
    <t>Polyoph มีกล่อง 5ml ขายเป็นขวด</t>
  </si>
  <si>
    <t>6 ขวด</t>
  </si>
  <si>
    <t>Flanil 30gm</t>
  </si>
  <si>
    <t>10 หลอด</t>
  </si>
  <si>
    <t>Cemol 500 mg ขาวยาว 1000</t>
  </si>
  <si>
    <t>1 ขวด1000เม็ด</t>
  </si>
  <si>
    <t>Ca-r-bon 260mg ขายเป็นแผง</t>
  </si>
  <si>
    <t>10 แผง 10 เม็ด</t>
  </si>
  <si>
    <t>Clinovir-400mg</t>
  </si>
  <si>
    <t>3 กล่อง25เม็ด</t>
  </si>
  <si>
    <t>Pred ชมพูกลม/ชมพูรี</t>
  </si>
  <si>
    <t>Sterile water for irrigation1000anb น้ำกลั่นฝ่าเกลียว</t>
  </si>
  <si>
    <t>2 ขวด</t>
  </si>
  <si>
    <t>Kanolone ฉีด 1ml 10mg ขายเป็นขวด</t>
  </si>
  <si>
    <t>Amotin 1000 mg อาโมทิน</t>
  </si>
  <si>
    <t>15 แผง 10 เม็ด</t>
  </si>
  <si>
    <t>Cetrizin กล่องสีฟ้า ขายเป็นแผง</t>
  </si>
  <si>
    <t>50 แผง 10 เม็ด</t>
  </si>
  <si>
    <t>Mucilin ซอง ส้ม 5g กล่อง 30ซอง</t>
  </si>
  <si>
    <t>1 กล่อง30ซอง</t>
  </si>
  <si>
    <t>Silverderm 25gm</t>
  </si>
  <si>
    <t>2 หลอด</t>
  </si>
  <si>
    <t>Moxicap 500mg (เขียวเทา กล่อง10แผง)</t>
  </si>
  <si>
    <t>5 กล่อง100แคปๆ</t>
  </si>
  <si>
    <t>Norfloxstar 400mg ขายเป็นแผง</t>
  </si>
  <si>
    <t>Metronidazole 400 สหแพทย์ ขายเป็นแผง</t>
  </si>
  <si>
    <t>D-5-w 100ml no set anb</t>
  </si>
  <si>
    <t>3 ถุง</t>
  </si>
  <si>
    <t>D-5-s/2 500ml+set anb(ถุงม่วง)</t>
  </si>
  <si>
    <t>1 ถุง</t>
  </si>
  <si>
    <t>Brombex เหลืองกลม</t>
  </si>
  <si>
    <t>Spornar 100mg ขายเป็นแผง</t>
  </si>
  <si>
    <t>10 แผง10แค็ปซูล</t>
  </si>
  <si>
    <t>Kanolone ปาก 1gm ขายเป็นซอง</t>
  </si>
  <si>
    <t>20 ซอง</t>
  </si>
  <si>
    <t>5 ขวด</t>
  </si>
  <si>
    <t>Lyma cream ไลม่า 15gm</t>
  </si>
  <si>
    <t>Lyma cream 5gm</t>
  </si>
  <si>
    <t>2 กล่อง25เม็ด</t>
  </si>
  <si>
    <t>Clinovir-200mg</t>
  </si>
  <si>
    <t>Benzac AC 2 1/2% gel 60gm</t>
  </si>
  <si>
    <t>1 หลอด</t>
  </si>
  <si>
    <t>Doperan 30ml</t>
  </si>
  <si>
    <t>Hyoscine star syrup 30ml</t>
  </si>
  <si>
    <t>Azithro 250mg m&amp;h</t>
  </si>
  <si>
    <t>5 กล่อง6แค็ปซูล</t>
  </si>
  <si>
    <t>Glucose 50% 50ml anb</t>
  </si>
  <si>
    <t>Air-x รสส้ม ขายเป็นแผง</t>
  </si>
  <si>
    <t>/ Ibustar-f ขวด ขาวยาว</t>
  </si>
  <si>
    <t>1 ขวด500เม็ด</t>
  </si>
  <si>
    <t>/Omicap-20 ขายเป็นแผง</t>
  </si>
  <si>
    <t>20x1 terumo</t>
  </si>
  <si>
    <t>Ky jelly 42gm</t>
  </si>
  <si>
    <t>SRO  04/10/2568</t>
  </si>
  <si>
    <t>รายการสินค้า</t>
  </si>
  <si>
    <t>หน่วย</t>
  </si>
  <si>
    <t>ราคา</t>
  </si>
  <si>
    <t>รวมเงิน</t>
  </si>
  <si>
    <t>WONDER DENGUE IgG/IgM-NS1 ATK ชุด</t>
  </si>
  <si>
    <t>ตรวจไข้เลือดออก (3IN1)</t>
  </si>
  <si>
    <t>DEXTROMETHORPHAN 15MG.1,000'S.(NL)</t>
  </si>
  <si>
    <t>กป</t>
  </si>
  <si>
    <t>ALCOHOL PAD (6x6CM.) 100ขึ้น</t>
  </si>
  <si>
    <t>LORAZEP 1MG.</t>
  </si>
  <si>
    <t>ขวด (1000)</t>
  </si>
  <si>
    <t>MADOLA CAPSULE 50MG.(สีเหลือง-เขียว)</t>
  </si>
  <si>
    <t>กล่อง (50 )</t>
  </si>
  <si>
    <t>TRAY 8x3x1.5นิ้ว</t>
  </si>
  <si>
    <t>ใบ</t>
  </si>
  <si>
    <t>NURASIC 500'S.</t>
  </si>
  <si>
    <t>SYSTANE ULTRA UD. 0.5ML.28หลอด</t>
  </si>
  <si>
    <t>Folimed 5mg</t>
  </si>
  <si>
    <t>Acetin inj ฉีด 300mg กล่อง10หลอด</t>
  </si>
  <si>
    <t>1 กล่อง10หลอด</t>
  </si>
  <si>
    <t>Cloxstar 125mg syrup</t>
  </si>
  <si>
    <t>Paracetamol 250mg 6-12ปี 7ดาว 60ml น้ำแดง</t>
  </si>
  <si>
    <t>10 ขวด</t>
  </si>
  <si>
    <t>Mysoven 100 (กล่องสีส้ม) ขายเป็นซอง</t>
  </si>
  <si>
    <t>60 ซอง</t>
  </si>
  <si>
    <t>Tizine syrup 60ml</t>
  </si>
  <si>
    <t>12 ขวด</t>
  </si>
  <si>
    <t>Buflex น้ำ 60ml</t>
  </si>
  <si>
    <t>Domperdone 30ml</t>
  </si>
  <si>
    <t>Bromso 60ml</t>
  </si>
  <si>
    <t>Starmox 125 ส้ม syrup</t>
  </si>
  <si>
    <t>Syn-o-vits 60ml มี Lysine</t>
  </si>
  <si>
    <t>Ftr tennis elbow support 45975</t>
  </si>
  <si>
    <t>1 ชิ้น</t>
  </si>
  <si>
    <t>ANAPRIL SMG 10X10'S***ขน(ENALAPRIL(BERLIN))</t>
  </si>
  <si>
    <t>DINICEF SUSP 125MG 30ML สูตS OMNICEF [L.B.S)</t>
  </si>
  <si>
    <t>HIDIL 300MG 10X10S ****1น (GEMFIBROZIL(BERLIN))</t>
  </si>
  <si>
    <t>3.00 กล่อง</t>
  </si>
  <si>
    <t>ILIADIN 0.05%SPRAY (OXYMETAZAZOLINE) A04</t>
  </si>
  <si>
    <t>OMICAP-20 10X10/S(OMEPRAZOLE) F01</t>
  </si>
  <si>
    <t>SYSTANE UNIT DOSE 28VIALS X 0.5ML A03</t>
  </si>
  <si>
    <t>TOFLEX DRY 250MG TO เปลือย (CEFALEXIN) 202</t>
  </si>
  <si>
    <t>TYLENOL 500 MG 20X10'S (PARA) E04</t>
  </si>
  <si>
    <t>WONDER3IN I TEST COW FLU A/B -COVID-19 ATK</t>
  </si>
  <si>
    <t>WONDER 4 IN I TEST สีชมพู FLU A/B+COVID-19+R + RSV</t>
  </si>
  <si>
    <t>WONDERSIN I TEST am FLU A/B+COVID-19 +</t>
  </si>
  <si>
    <t>WONDER6INITEST &amp; JIN FLU A/B +COVID-19-19+</t>
  </si>
  <si>
    <t>ไอน้ำดำเสือดาว (ล) 60M]. W03</t>
  </si>
  <si>
    <t>1.00 โหล</t>
  </si>
  <si>
    <t>Oreda ส้ม ซองเล็ก 3.3 gm ขายเป็นซอง</t>
  </si>
  <si>
    <t>100 ซอง</t>
  </si>
  <si>
    <t>Ambes 10mg ขายเป็นแผง</t>
  </si>
  <si>
    <t>Cardoxa 2mg ขายเป็นแผง</t>
  </si>
  <si>
    <t>10 แผง10 เม็ด</t>
  </si>
  <si>
    <t>Saldol tab 2mg แผง</t>
  </si>
  <si>
    <t>3 ขวด</t>
  </si>
  <si>
    <t>Propoliz mouth spray 15ml</t>
  </si>
  <si>
    <t>Ambes 5mg ขายเป็นแผง</t>
  </si>
  <si>
    <t>2 กล่อง 30 เม็ด</t>
  </si>
  <si>
    <t>Zimmex 10mg</t>
  </si>
  <si>
    <t>Cardiplot 20mg ขายเป็นแผง</t>
  </si>
  <si>
    <t>Caltrate silver 50+D400 120 ชมพู</t>
  </si>
  <si>
    <t>Systane ultra ขวด 10ml</t>
  </si>
  <si>
    <t>5 กล่อง6ชิ้น</t>
  </si>
  <si>
    <t>Fever kold เด็กโตและผู้ใหญ่ 5x12cm</t>
  </si>
  <si>
    <t>2 กล่อง3ซอง</t>
  </si>
  <si>
    <t>ByeBye fever เด็กโต</t>
  </si>
  <si>
    <t>Bowagel 240ml</t>
  </si>
  <si>
    <t>3 นวด</t>
  </si>
  <si>
    <t>MM ยาระบาย มิ้น 240ml</t>
  </si>
  <si>
    <t>ชุดพ่นยาเด็ก Bm2 child M หัวเกลียว/เสียบ</t>
  </si>
  <si>
    <t>ชุดพ่นยาผู้ใหญ่ Bm2 adult XL หัวเสียบ/แบบเกลียว</t>
  </si>
  <si>
    <t>12 หลอด</t>
  </si>
  <si>
    <t>Greetmed infusion set น้ำเกลือ ใช้กับเครื่องไม่ไม่ได้</t>
  </si>
  <si>
    <t>20 บวด</t>
  </si>
  <si>
    <t>Nss 500ml iv ไม่มีset anb ป้ายแดง</t>
  </si>
  <si>
    <t>Cardenol 10mg ขายเป็นแผง</t>
  </si>
  <si>
    <t>ANAPRIL 20MG 10XIOS***ขึ้น(ENALAPRIL (BERLIN))</t>
  </si>
  <si>
    <t>ANAPRIL SMG 10XIOS***** (ENALAPRIL (BERLIN))</t>
  </si>
  <si>
    <t>/ 3.00 กล่อง</t>
  </si>
  <si>
    <t>NORFLOXIN 400 MG 500S' TO C02</t>
  </si>
  <si>
    <t>1.00 กป</t>
  </si>
  <si>
    <t>PAINNEX 200MG 3X10'S สูตร CELEBREX [MILLIMED)</t>
  </si>
  <si>
    <t>43.00 กล่อง</t>
  </si>
  <si>
    <t>POLY-OPH 5CC (NEO,POLYMYXIN B,GRAMICIDIN)</t>
  </si>
  <si>
    <t>/6.00 ขวด</t>
  </si>
  <si>
    <t>WONDER3IN I TEST MYN FLU A/B +COVID-19 ATK</t>
  </si>
  <si>
    <t>/15.00 กล่อง</t>
  </si>
  <si>
    <t>วันที่ รับเข้า</t>
  </si>
  <si>
    <t>ซื้อร้านค้า</t>
  </si>
  <si>
    <t>จัดเก็บ</t>
  </si>
  <si>
    <t>เส้น</t>
  </si>
  <si>
    <t>POLYTANOL</t>
  </si>
  <si>
    <t>CETIRIZINE</t>
  </si>
  <si>
    <t xml:space="preserve"> 60ML </t>
  </si>
  <si>
    <t>TIZINE SYRUP 60ML Sถสัม (BLH]</t>
  </si>
  <si>
    <t>HYOSCINE</t>
  </si>
  <si>
    <t>SIMVASTATIN</t>
  </si>
  <si>
    <t>10MG</t>
  </si>
  <si>
    <t xml:space="preserve">ZIMMEX </t>
  </si>
  <si>
    <t>20MG</t>
  </si>
  <si>
    <t>AMBES</t>
  </si>
  <si>
    <t>[GPO]</t>
  </si>
  <si>
    <t xml:space="preserve"> 12SMG </t>
  </si>
  <si>
    <t>STAW dinล่อง)</t>
  </si>
  <si>
    <t>250MG</t>
  </si>
  <si>
    <t>AMOXY  DRY รสส้ม (เปลือย)</t>
  </si>
  <si>
    <t>HIP BIOTECH</t>
  </si>
  <si>
    <t>2 IN I</t>
  </si>
  <si>
    <t xml:space="preserve">ATK HIP </t>
  </si>
  <si>
    <t xml:space="preserve">12 MG </t>
  </si>
  <si>
    <t xml:space="preserve">สูตร MERISLON </t>
  </si>
  <si>
    <t xml:space="preserve">6 MG </t>
  </si>
  <si>
    <t xml:space="preserve">PARA SYRUP </t>
  </si>
  <si>
    <t>60CC</t>
  </si>
  <si>
    <t>240 ML</t>
  </si>
  <si>
    <t>60ML</t>
  </si>
  <si>
    <t>SCI STRAW BLH</t>
  </si>
  <si>
    <t>IBUPROFEN</t>
  </si>
  <si>
    <t xml:space="preserve">60CC </t>
  </si>
  <si>
    <t xml:space="preserve">BUFLEX SUSP 60CC รส ส้ม </t>
  </si>
  <si>
    <t>CARDIPLOT</t>
  </si>
  <si>
    <t>MADIPLOT</t>
  </si>
  <si>
    <t>BERLIN</t>
  </si>
  <si>
    <t>ACYCLOVIR</t>
  </si>
  <si>
    <t xml:space="preserve">400MG </t>
  </si>
  <si>
    <t>CLINOVIR 5'S</t>
  </si>
  <si>
    <t xml:space="preserve">[BKD] </t>
  </si>
  <si>
    <t>docusate sodium</t>
  </si>
  <si>
    <t>15ML</t>
  </si>
  <si>
    <t xml:space="preserve">DEWAX 1100M </t>
  </si>
  <si>
    <t>DICLOFENAC</t>
  </si>
  <si>
    <t xml:space="preserve">25 MG </t>
  </si>
  <si>
    <t>VESCO</t>
  </si>
  <si>
    <t>DIMENHIDINATEURS</t>
  </si>
  <si>
    <t xml:space="preserve">10'S </t>
  </si>
  <si>
    <t xml:space="preserve">GABAPENTIN </t>
  </si>
  <si>
    <t>100MG</t>
  </si>
  <si>
    <t>GABAPENTIN GPO 100MG 10XIOS(10)&gt;230 G</t>
  </si>
  <si>
    <t>GICA 3 INI TEST</t>
  </si>
  <si>
    <t>COVID-19 ATK</t>
  </si>
  <si>
    <t>IBUPROFEN 400MG</t>
  </si>
  <si>
    <t xml:space="preserve"> 400MG</t>
  </si>
  <si>
    <t>BROFEN</t>
  </si>
  <si>
    <t>OXYMETAZOLINE</t>
  </si>
  <si>
    <t>SPRAY</t>
  </si>
  <si>
    <t>IADIN 0.05%SPRAY</t>
  </si>
  <si>
    <t>LOSARTAN</t>
  </si>
  <si>
    <t>50MG</t>
  </si>
  <si>
    <t xml:space="preserve">LANZAAR 50MG 10X10S[BERLIN] </t>
  </si>
  <si>
    <t xml:space="preserve">MANTAB 50X10'S </t>
  </si>
  <si>
    <t>OMEPRAZOLE</t>
  </si>
  <si>
    <t xml:space="preserve">20MG </t>
  </si>
  <si>
    <t>MIRACID 20MG 14S</t>
  </si>
  <si>
    <t>CLOTRIMAZOLE</t>
  </si>
  <si>
    <t>CANDINOX</t>
  </si>
  <si>
    <t>CHLORAM</t>
  </si>
  <si>
    <t>5CC</t>
  </si>
  <si>
    <t xml:space="preserve">CHLOR-OPH 5CC </t>
  </si>
  <si>
    <t xml:space="preserve">DOXY CAP </t>
  </si>
  <si>
    <t>NEO,POLYMYXIN B,GRAMICI</t>
  </si>
  <si>
    <t xml:space="preserve">POLY-OPH </t>
  </si>
  <si>
    <t xml:space="preserve"> 20MG</t>
  </si>
  <si>
    <t>ZIMMEX</t>
  </si>
  <si>
    <t>CARVEDILOL</t>
  </si>
  <si>
    <t xml:space="preserve">6.25 MG </t>
  </si>
  <si>
    <t xml:space="preserve">CARATEN </t>
  </si>
  <si>
    <t>[BERLIN</t>
  </si>
  <si>
    <t xml:space="preserve">80MG </t>
  </si>
  <si>
    <t>AIR-X ส้ม SOX10S</t>
  </si>
  <si>
    <t xml:space="preserve">ALEREST SYRUP </t>
  </si>
  <si>
    <t xml:space="preserve">[ชุมชน) </t>
  </si>
  <si>
    <t>300MG</t>
  </si>
  <si>
    <t>ALLOPURINOL300MG</t>
  </si>
  <si>
    <t>[CPL]</t>
  </si>
  <si>
    <t>BROMHEXINE 4MG</t>
  </si>
  <si>
    <t>ASOVON SYRUP 60ML</t>
  </si>
  <si>
    <t xml:space="preserve">[MS] </t>
  </si>
  <si>
    <t>BERAMOL แดง SYRUP 60CC</t>
  </si>
  <si>
    <t>BUFLEX SUSP 60CC รส ส้ม เปลื้อย</t>
  </si>
  <si>
    <t>DOXAZOSIN</t>
  </si>
  <si>
    <t xml:space="preserve">2MG </t>
  </si>
  <si>
    <t>CARDOXA 2MG 10X10S</t>
  </si>
  <si>
    <t>COLCHICINE LILLY</t>
  </si>
  <si>
    <t xml:space="preserve">10MG </t>
  </si>
  <si>
    <t>200MG</t>
  </si>
  <si>
    <t>PAINNEX 200MG สูตร CELEBREX</t>
  </si>
  <si>
    <t>[MILLIMED]</t>
  </si>
  <si>
    <t>ZIMMEX 10MG</t>
  </si>
  <si>
    <t>200mg</t>
  </si>
  <si>
    <t>Acetin</t>
  </si>
  <si>
    <t>5ml</t>
  </si>
  <si>
    <t>Polyoph</t>
  </si>
  <si>
    <t xml:space="preserve">Flanil </t>
  </si>
  <si>
    <t>400mg</t>
  </si>
  <si>
    <t>Iliadin</t>
  </si>
  <si>
    <t>spray</t>
  </si>
  <si>
    <t>SRO</t>
  </si>
  <si>
    <t>Ftr knee comfort with stab M 46164</t>
  </si>
  <si>
    <t>Back support XL สีดำมีสายรัดหลัง diamond</t>
  </si>
  <si>
    <t>Nss 100ml iv ไม่มีset anb ป้ายเเดง</t>
  </si>
  <si>
    <t>ชัชชัย</t>
  </si>
  <si>
    <t>DINICEF 125MG.30ML.</t>
  </si>
  <si>
    <t>DAFLON 500MG.15'S.</t>
  </si>
  <si>
    <t>SENNA ชนิดแผง 40เม็ด</t>
  </si>
  <si>
    <t>MYSOVEN 100MG. 60ซอง</t>
  </si>
  <si>
    <t>MYSOVEN 200MG. 60ซอง</t>
  </si>
  <si>
    <t>TRAMODA INJ.100MG.2ML.10A. 10 vial</t>
  </si>
  <si>
    <t>UTRAPHEN 10'S. 1000 เม็ด</t>
  </si>
  <si>
    <t>ESIDEP 10MG.7'S. 4 แผง</t>
  </si>
  <si>
    <t>Kamillosan m สเปรย์ 15ml</t>
  </si>
  <si>
    <t>Domper-m ขวด 1000 เม็ด</t>
  </si>
  <si>
    <t>Ibustar-f ขวด ขาวยาว IIbuprofen 400 mg 500 เม็ด</t>
  </si>
  <si>
    <t>Daflon 500mg 30 เม็ด</t>
  </si>
  <si>
    <t>Doproct suppo เหน็บ 2 แผง</t>
  </si>
  <si>
    <t>Trivit-b ฉีด 3ml (vitamin bl-b6-b12) 5 หลอด</t>
  </si>
  <si>
    <t>Clinovir ครีม 5gm Acyclovir</t>
  </si>
  <si>
    <t>Easifix 2.5cmx2m</t>
  </si>
  <si>
    <t>Easifix 4cmx2m</t>
  </si>
  <si>
    <t>Easifix 6cmx2m</t>
  </si>
  <si>
    <t>Sterilised water for inject Amanta 5ml น้ำกลั่น 5 หลอด</t>
  </si>
  <si>
    <t>Zocovin 400mg 70 เม็ด</t>
  </si>
  <si>
    <t>Zimva 20mg ขายเป็นแผง Simvasteti    1oเม็ด</t>
  </si>
  <si>
    <t>Simvastet</t>
  </si>
  <si>
    <t>Zocovin</t>
  </si>
  <si>
    <t>ห้องหัตถการ</t>
  </si>
  <si>
    <t>Femarate</t>
  </si>
  <si>
    <t xml:space="preserve">Alum milk </t>
  </si>
  <si>
    <t>THAI NAKHON PATANA Co,.ltd</t>
  </si>
  <si>
    <t xml:space="preserve">Air -X </t>
  </si>
  <si>
    <t>R.X. Company</t>
  </si>
  <si>
    <t>AMBES - (แอมเบส 5)</t>
  </si>
  <si>
    <t xml:space="preserve">Enalapril /Maleate </t>
  </si>
  <si>
    <t>Anapril (แอนนาพิล 5 )</t>
  </si>
  <si>
    <t xml:space="preserve"> Berlin</t>
  </si>
  <si>
    <t>Central Polytrading</t>
  </si>
  <si>
    <t xml:space="preserve">MM ยาระบาย รสเชอรี่ </t>
  </si>
  <si>
    <t xml:space="preserve">MM </t>
  </si>
  <si>
    <t xml:space="preserve">ดูปร๊อค ชนิดเหน็บ </t>
  </si>
  <si>
    <t>DOPROCT</t>
  </si>
  <si>
    <t>TO CHEMICAL (1979)Ltd</t>
  </si>
  <si>
    <t>Cemol tablets</t>
  </si>
  <si>
    <t>Migana (ไมเกนน่า เม็ด)</t>
  </si>
  <si>
    <t>Bangkok lab &amp; Cosmetic  /bkd</t>
  </si>
  <si>
    <t>METHYL SALICYLATE 10.20 %</t>
  </si>
  <si>
    <t>FLANIL</t>
  </si>
  <si>
    <t>BIOPHARM</t>
  </si>
  <si>
    <t>SENG THAI COMPANY</t>
  </si>
  <si>
    <t>Chloramphenical eye drops</t>
  </si>
  <si>
    <t>Chlor-oph (คลอรอฟ)</t>
  </si>
  <si>
    <t>Hydroxypropylmethyl cellulose น้ำตาเทียม</t>
  </si>
  <si>
    <t xml:space="preserve">Hyoscine-N-butylbromide </t>
  </si>
  <si>
    <t>Syringe 1ml เยโซเมด Yesomed ไม่ติดเข็ม 100 ชิ้น</t>
  </si>
  <si>
    <t>vitamin bl-b6-b12</t>
  </si>
  <si>
    <t xml:space="preserve"> 3ml </t>
  </si>
  <si>
    <t>Trivit-b ฉีด inj</t>
  </si>
  <si>
    <t>Glucose 50%</t>
  </si>
  <si>
    <t xml:space="preserve"> 50ml anb</t>
  </si>
  <si>
    <t>Kamillosan</t>
  </si>
  <si>
    <t>Kamillosan สเปรย์ 15ml</t>
  </si>
  <si>
    <t xml:space="preserve"> 15ml</t>
  </si>
  <si>
    <t xml:space="preserve"> Iibuprofen</t>
  </si>
  <si>
    <t>Ibustar-f ขวด ขาวยาว</t>
  </si>
  <si>
    <t>400 mg</t>
  </si>
  <si>
    <t>1MG.</t>
  </si>
  <si>
    <t xml:space="preserve"> 10 mg</t>
  </si>
  <si>
    <t xml:space="preserve">Domper-m </t>
  </si>
  <si>
    <t>500 mg</t>
  </si>
  <si>
    <t>Lorazepam</t>
  </si>
  <si>
    <t>DEXTROMETHORPHAN</t>
  </si>
  <si>
    <t>ESIDEP</t>
  </si>
  <si>
    <t xml:space="preserve"> 15MG</t>
  </si>
  <si>
    <t>DEXTROMETHORPHAN 15MG</t>
  </si>
  <si>
    <t>Tramadol Hydrochloride</t>
  </si>
  <si>
    <t>2ml.</t>
  </si>
  <si>
    <t>TRAMODA -   INJ.100MG.2ML</t>
  </si>
  <si>
    <t>DINICEF</t>
  </si>
  <si>
    <t>125mg/5ml.</t>
  </si>
  <si>
    <t>cefdinir</t>
  </si>
  <si>
    <t>เสริมเด็ก</t>
  </si>
  <si>
    <t>10mg</t>
  </si>
  <si>
    <t>Sun Pharma</t>
  </si>
  <si>
    <t xml:space="preserve">UTRAPHEN </t>
  </si>
  <si>
    <t>325mg</t>
  </si>
  <si>
    <t>Tramadol HCL+Paracetamol</t>
  </si>
  <si>
    <t>POLY-OPH</t>
  </si>
  <si>
    <t>ENALAPRIL</t>
  </si>
  <si>
    <t>SENNA</t>
  </si>
  <si>
    <t>Harifin 5 mg</t>
  </si>
  <si>
    <t xml:space="preserve">finasteride </t>
  </si>
  <si>
    <t>5 mg</t>
  </si>
  <si>
    <t>10 mg</t>
  </si>
  <si>
    <t>Glucose</t>
  </si>
  <si>
    <t>50 ml.</t>
  </si>
  <si>
    <t>Anapril (แอนนาพิล 20 )</t>
  </si>
  <si>
    <t>GABAPENTIN</t>
  </si>
  <si>
    <t>100 mg</t>
  </si>
  <si>
    <t>GABAPENTIN GPO 100MG</t>
  </si>
  <si>
    <t>Elastic 6" ktd</t>
  </si>
  <si>
    <t>ม้วน</t>
  </si>
  <si>
    <t>Aspilets 81mg ขายเป็นแผง</t>
  </si>
  <si>
    <t>Divomit injection 1 ml</t>
  </si>
  <si>
    <t>Tovastin 40mg</t>
  </si>
  <si>
    <t>Gabapentin Gpo 100mg ขายเป็นแผง</t>
  </si>
  <si>
    <t>Hidil 300mg ขายเป็นแผง</t>
  </si>
  <si>
    <t>Reparil เม็ด ขายเป็นแผง 20mg</t>
  </si>
  <si>
    <t>Dewax หยอดหู 15ml</t>
  </si>
  <si>
    <t>Omicap-20 ขายเป็นแผง</t>
  </si>
  <si>
    <t>Dimenhydrinate 50mg NI. เหลืองกลม</t>
  </si>
  <si>
    <t>Lac-oph หยอดตา 10ml</t>
  </si>
  <si>
    <t>Chloroph 5ml หยอดตา</t>
  </si>
  <si>
    <t>Aspilets 81mg ขายเป็นแผง aspirin</t>
  </si>
  <si>
    <t>aspirin</t>
  </si>
  <si>
    <t>81mg</t>
  </si>
  <si>
    <t>40mg</t>
  </si>
  <si>
    <t>300mg</t>
  </si>
  <si>
    <t>100mg</t>
  </si>
  <si>
    <t>50mg</t>
  </si>
  <si>
    <t>Tovastin</t>
  </si>
  <si>
    <t>Reparil</t>
  </si>
  <si>
    <t>1 ml</t>
  </si>
  <si>
    <t>20mg</t>
  </si>
  <si>
    <t>10ml</t>
  </si>
  <si>
    <t>30 mg</t>
  </si>
  <si>
    <t>Metoclor injection</t>
  </si>
  <si>
    <t xml:space="preserve"> 2ml </t>
  </si>
  <si>
    <t>GABAPENTIN 1Q0MG 10X108ชียว)&gt;&gt;&gt;230G</t>
  </si>
  <si>
    <t xml:space="preserve"> GPO</t>
  </si>
  <si>
    <t>GEMFIBROZIL</t>
  </si>
  <si>
    <t>Birlin</t>
  </si>
  <si>
    <t xml:space="preserve"> 15ml </t>
  </si>
  <si>
    <t>ltraconazole</t>
  </si>
  <si>
    <t xml:space="preserve"> 5ml</t>
  </si>
  <si>
    <t>Alsoff cotton สำลีชุบแอลกอฮอล์ ขายเป็นแผง</t>
  </si>
  <si>
    <t>liadin nasal decongest spray la'ปรย์ 0.05%</t>
  </si>
  <si>
    <t>Caltrate silver 50+D400 60 ชมพู</t>
  </si>
  <si>
    <t>Migana ไมแกนน่า ขายเป็นแผง</t>
  </si>
  <si>
    <t>Torcozia 90mg</t>
  </si>
  <si>
    <t>liadin</t>
  </si>
  <si>
    <t>Caltrate silver</t>
  </si>
  <si>
    <t>90mg</t>
  </si>
  <si>
    <t>Torcozia</t>
  </si>
  <si>
    <t>Docaine jelly 2% 30gm</t>
  </si>
  <si>
    <t>Manclamine Es กลิ่นส้ม 642.9mg/5ml 50ml</t>
  </si>
  <si>
    <t>Onzet-P syrup สับปะรด 200mg/5ml เหลือง</t>
  </si>
  <si>
    <t>Dinicef ยาน้ำ 125mg</t>
  </si>
  <si>
    <t>pipALLO 100mg</t>
  </si>
  <si>
    <t>Brovol syrup 60ml</t>
  </si>
  <si>
    <t>Moprix 20mg แค็ปซูลเหลือง</t>
  </si>
  <si>
    <t>Con con 15ml</t>
  </si>
  <si>
    <t>Compound senna เป็นยาระบายท้องผูก</t>
  </si>
  <si>
    <t>Chlovas 40mg</t>
  </si>
  <si>
    <t>Starda 100mg ชนิดเหน็บช่องคลอด</t>
  </si>
  <si>
    <t>Tiradine ทิราดีน ขายเป็นแผง</t>
  </si>
  <si>
    <t>30gm</t>
  </si>
  <si>
    <t>60ml</t>
  </si>
  <si>
    <t>125mg</t>
  </si>
  <si>
    <t>Docaine jelly</t>
  </si>
  <si>
    <t>5ml 50ml</t>
  </si>
  <si>
    <t>Manclamine</t>
  </si>
  <si>
    <t>Onzet-P syrup</t>
  </si>
  <si>
    <t xml:space="preserve">200mg/5ml </t>
  </si>
  <si>
    <t xml:space="preserve">Dinicef ยาน้ำ </t>
  </si>
  <si>
    <t>5mg</t>
  </si>
  <si>
    <t>AMBES - (แอมเบส 10)</t>
  </si>
  <si>
    <t>5MG</t>
  </si>
  <si>
    <t>Omicap</t>
  </si>
  <si>
    <t>BEHISTIN 6 MG  สูตร MERISLON 50X10S [CPL]</t>
  </si>
  <si>
    <t xml:space="preserve">2mg </t>
  </si>
  <si>
    <t>ครีม 5gm</t>
  </si>
  <si>
    <t>Clinovir ครีม 5gm</t>
  </si>
  <si>
    <t>AMK 1000MG 10'S/pro-03 C01</t>
  </si>
  <si>
    <t>AMOXY 500[-] 50X10'S N/W## CO1</t>
  </si>
  <si>
    <t>AZITHRO 250MG 6'S M&amp;H(AZITHROMYCIN)(ขายขาด)</t>
  </si>
  <si>
    <t>ALTAB-1000MG 10X10S [MILLIMED] (CALCIU</t>
  </si>
  <si>
    <t>CEMOL 500MG (ข13 กลม) 10000'S CPL E01</t>
  </si>
  <si>
    <t>CHLOR-OPH SCC (ข18ข1ด)(CHLORAM) A03</t>
  </si>
  <si>
    <t>CPM ฉีด 2 ML 10 AMP [A.N.B] GO1</t>
  </si>
  <si>
    <t>DAFLON 500MG 30S (FLAVONOIDIC) F</t>
  </si>
  <si>
    <t>DICLOFENAC INI S0X3ML (VESCONAC)nล่อง ใหญ่ *************</t>
  </si>
  <si>
    <t>DICLOXA.500ฟ้า-ข13 50X10S&gt;&gt;&gt;&gt;770 C01</t>
  </si>
  <si>
    <t>D-LYTE (รสส้ม)(1X50S)(ORS) 202</t>
  </si>
  <si>
    <t>DOPROCT เหน็บIOS(HYDROCORTISONE7.5MG) A03</t>
  </si>
  <si>
    <t>FLEMING 1000MG 10'S[BERLIN]</t>
  </si>
  <si>
    <t>GOFEN 400MG 10S[MEGA] แพ็ค SIIN (IBUPROFEN)</t>
  </si>
  <si>
    <t>HISTA-OPH SCC***ราคาใหม่</t>
  </si>
  <si>
    <t>HYOSCINE INJ 10X1ML (KANIN) [L.B.S] G01</t>
  </si>
  <si>
    <t>LAC-OPH 10CC(HYDROXYPROPYL BEZALKONIUM)</t>
  </si>
  <si>
    <t>MIRACID 20MG 14'S(OMEPRAZOLE) F01</t>
  </si>
  <si>
    <t>MUCILIN SF (SUGAR FREE)10XSGM SKITม FO1</t>
  </si>
  <si>
    <t>MYSOVEN 100MG Rifu 60X5GM (ACETYLCYSTEINE)</t>
  </si>
  <si>
    <t>OMEPRAZOLE INJ40MG/VIAL GO1</t>
  </si>
  <si>
    <t>POLIROXIN TAB 50X10'S[POLIPHARM)</t>
  </si>
  <si>
    <t>พีทีเอ็น</t>
  </si>
  <si>
    <t>TRAMADOL INJ [TRAMODA-100] 10X2ML [L.B.S] **</t>
  </si>
  <si>
    <t>IBUPROFEN)</t>
  </si>
  <si>
    <t>Starmox ฟอร์ท 250mg รสส้ม 60ml</t>
  </si>
  <si>
    <t>Kressmol-250mg(พาราเซตามอล) ฉลากส้ม</t>
  </si>
  <si>
    <t>Dormirax 25mg ขายเป็นแผง</t>
  </si>
  <si>
    <t>Iliadin nasal decongest spray la'ปรย์ 0.05%</t>
  </si>
  <si>
    <t>Mucilin SF orange flavour</t>
  </si>
  <si>
    <t>Zyno 0.1% 5gm</t>
  </si>
  <si>
    <t>Cemol ชมพูยาว</t>
  </si>
  <si>
    <t>Reparil gel 10gm</t>
  </si>
  <si>
    <t>Atenol 50mg ขายเป็นแผง</t>
  </si>
  <si>
    <t>Hydralazine 50mg ขายเป็นแผง</t>
  </si>
  <si>
    <t>Cesoline W 25mg ขายเป็นแผง</t>
  </si>
  <si>
    <t>AMOXY 500[-]50X10'S N/W#### CO1</t>
  </si>
  <si>
    <t>AZITHRO 250MG 6'S M&amp;H(AZITHROMYCIN)(ข18ขาด)</t>
  </si>
  <si>
    <t>CALTAB-1000MG 10X10/S[MILLIMED] (CALCIUM</t>
  </si>
  <si>
    <t>CEMOL 500MG (ขาว กลม) 1000'S CPL E01</t>
  </si>
  <si>
    <t>CHLOR-OPH SCC (ขายขาด) (CHLORAM) A03</t>
  </si>
  <si>
    <t>CPM ฉีด 2 ML 10 AMP [A.N.B] GOI</t>
  </si>
  <si>
    <t>DICLOFENAC INI S0X3ML (VESCONAC)~)~ไหญ่ **************</t>
  </si>
  <si>
    <t>DICLOXA 500ฟ้า-413 50X10'S&gt;&gt;&gt;&gt;770 C01</t>
  </si>
  <si>
    <t>D-LYTE(รสสัม)(1X50S)(ORS) 202</t>
  </si>
  <si>
    <t>DOPROCT Mนั่LIUS (HYDROCORTISONE 7.5MG) A03</t>
  </si>
  <si>
    <t>GOFEN 400MG 10S(MEGA] แพ็ค 5แผN (IBUPROFEN)</t>
  </si>
  <si>
    <t>HISTA-OPH 5CC***ราคาใหม่</t>
  </si>
  <si>
    <t>MUCILIN SF (SUGAR FREE)10XSGM 53ม F01</t>
  </si>
  <si>
    <t>MYSOVEN 100MG adน 60XSGM (ACETYLCYSTSTEINE)</t>
  </si>
  <si>
    <t>POLIROXIN TAB 50X10S[POLIPHARM]</t>
  </si>
  <si>
    <t>TRAMADOL INJ [TRAMODA-100] 10X2ML [L.B.S] **ส่ง</t>
  </si>
  <si>
    <t>ZITHRO 250MG 6'S M&amp;H(AZITHROMYCIN)(ข1</t>
  </si>
  <si>
    <t>CETIRIZINE SOX10/S [๙MUWN6) (CETIRIZINE) DO2</t>
  </si>
  <si>
    <t>DEPO-A INJ 3ML 1X10VIAL</t>
  </si>
  <si>
    <t>KAMILLOSAN M SPRAY /pro-06 A04</t>
  </si>
  <si>
    <t>ของแถม ยาดมโป๊ยเซียน (แถมNACLONG/KAMILOSAN)</t>
  </si>
  <si>
    <t>ILIADIN 0.05%SPRAY (OXYMETATAZOLINE) A04</t>
  </si>
  <si>
    <t>AMBES 10 MG [GPO] 10X10S(W1)(AMLODIPINE 10 MG)</t>
  </si>
  <si>
    <t>GABAPENTIN GPO 100MG 10X10S(เขียว)&gt;&gt;&gt;&gt;230 G</t>
  </si>
  <si>
    <t>สูตร ATARAXIHแพทย์ 100XIUS UN (HYDROXYZINE)</t>
  </si>
  <si>
    <t>ACETIN 200MG 50PCS(ACETYLCYSTEINE) D01</t>
  </si>
  <si>
    <t>DEXA INJ 50XICC (PHENODEX)(VESCO)</t>
  </si>
  <si>
    <t>IMEN INJ 10X1ML (DIVOMIT) [L.B.S]</t>
  </si>
  <si>
    <t>BUMAN-200 1000'Sกลมชมพู (IBUPROFEN)</t>
  </si>
  <si>
    <t>MOPRIX 20MG 14'S (OMEPRAZOLE) FO1</t>
  </si>
  <si>
    <t>NORFLOX 400MG [VESCO]100'S(VESXACIN-400) C02</t>
  </si>
  <si>
    <t>WONDERBINI TEST สีส้ม FLU A/B +COVID-19 ATK</t>
  </si>
  <si>
    <t>DEWAX Hหยอดหู 15ML(docusate sodium) A03</t>
  </si>
  <si>
    <t>DICLOFENAC INI SOX3ML (VESCONAC)*กล่อง ใหญ่ *</t>
  </si>
  <si>
    <t>FLANIL CREAM 30GM (METHYL SALICYLIC)</t>
  </si>
  <si>
    <t>MIRACID 20MG 14'S(OMEPRAZOLE)</t>
  </si>
  <si>
    <t>NORTUSSIN TAB 10X10'S (DEXTRO,GG)</t>
  </si>
  <si>
    <t>ALCOHOL เสือดาว 450CC***ขึ้น</t>
  </si>
  <si>
    <t>ACYCLOVIR CREAM 5GM(MONIRAX)</t>
  </si>
  <si>
    <t>AIR-X ส้ม 50X10S(SIMETICONE)</t>
  </si>
  <si>
    <t>AMBES 5 MG [GPO] 10X10'S (ม่วง)(AMLODIPINE 5 MG)</t>
  </si>
  <si>
    <t>AMK 1000MG 10'S</t>
  </si>
  <si>
    <t>ARCONA 90 MG 3XIUS[M&amp;H] สูตS ARCOXIA</t>
  </si>
  <si>
    <t>ARCOXIA 120MG 5'S กล่องละแผง (ETORICOXIB)</t>
  </si>
  <si>
    <t>ASMASAL 2.SML SDU 2IS ตูAS VENTOLIN IN INO 2.5MG</t>
  </si>
  <si>
    <t>ASUMOL 325MG (W) 1000'S(PARA)</t>
  </si>
  <si>
    <t>AVAFAST 180MG 10 gต: TELFAST [MILLIMED)</t>
  </si>
  <si>
    <t>AVAFAST 180MG 10 ring TELFAST [MILLIMED]</t>
  </si>
  <si>
    <t>B COMPLEX แดง สหมพทธิ์ 100XIOS MEDICPLEX</t>
  </si>
  <si>
    <t>BEHISTIN 6 MG สูต: MERISLON 50XIOS [CPL]</t>
  </si>
  <si>
    <t>BETJI-CORT CREAM5G G (TRIAMCINOLONE0.1%)</t>
  </si>
  <si>
    <t>BET-N STAR 5GM [701ว](BETAMETHASONE,NEO)</t>
  </si>
  <si>
    <t>BUFENAC 25MG 100X10'S(DFS ENTERIC COAT 25 MG)</t>
  </si>
  <si>
    <t>CARDOXA 2MG 10XIOS(ของในYDOXAZOSIN)</t>
  </si>
  <si>
    <t>CEFTREX IG LV. IAMP+10ML น่ากลั่น [BIOPHARM)</t>
  </si>
  <si>
    <t>CETIRIZINE SOXIO/S [๙หมพทย์) (CETIRIZINE)</t>
  </si>
  <si>
    <t>CIPROFLOX 500MG [สหแพทย์]10X10'S(FLOXCIPRO</t>
  </si>
  <si>
    <t>CLINOVIR 400 5X5'S[BKD] (ACYCLOVIR)</t>
  </si>
  <si>
    <t>CPM 1000S (T.MAN) ขาวลาย******</t>
  </si>
  <si>
    <t>DEHECTA 20X20ML JUSTRAW ******1</t>
  </si>
  <si>
    <t>DERMEXCEL 20% CREAM 50 G [2M] (UREA20%)</t>
  </si>
  <si>
    <t>DEXA INJ IOML ขวด แพ็ก 10VIAL (PHENODEX)</t>
  </si>
  <si>
    <t>DIMEN INJ 10XIML (DIVOMIT) [L.B.S]</t>
  </si>
  <si>
    <t>DIMENHIDINATEUNS 100X10'S</t>
  </si>
  <si>
    <t>DOROX 500MG 25X10S'(DICLOXACILLIN)</t>
  </si>
  <si>
    <t>DOXY CAP 50X10S</t>
  </si>
  <si>
    <t>FANGO-BD CREAM SG [BKD]***รุ่นใหม่</t>
  </si>
  <si>
    <t>FLEMING 1000MG 10S [BERLIN]</t>
  </si>
  <si>
    <t>GICA 4 INI TEST สีม่วง FLU A/B +COVID-19 RSV  ATK</t>
  </si>
  <si>
    <t>GLIPIZIDE SMG 10X10/S[MS] GLIPIMED</t>
  </si>
  <si>
    <t>GLOWY HCG TEST STRIP ชุ่ม (PREG TEST) TUW -808</t>
  </si>
  <si>
    <t>HCTZ 25 MG [GPO] 50X10'S</t>
  </si>
  <si>
    <t>IBROFEN 400MG TO 50X10'S (IBUPROFEN 400MG)</t>
  </si>
  <si>
    <t>INHALEX 4ML 3X7S (สูตร BERODUAL SOLUTION)</t>
  </si>
  <si>
    <t>LANZAAR SOMG 10X10S[BERLIN] (LOSARTAN)</t>
  </si>
  <si>
    <t>LIDOCAINE 2%INJ 50 ML (LIDOCAINE 20 MG)</t>
  </si>
  <si>
    <t>LINCO INJ 2 ML 2ML VESCO</t>
  </si>
  <si>
    <t>LOREZE CLEARCAP 10/S[MEGA](LORATADINE)***</t>
  </si>
  <si>
    <t>LYMA CREAM 5GM [2M] (CLOTRIMAZOLE)</t>
  </si>
  <si>
    <t>MAG TEST ตรวจยาบ้า STRIP มีกล่อง</t>
  </si>
  <si>
    <t>METFORMIN 500MG SOXIO'S [THUWN]</t>
  </si>
  <si>
    <t>MIGANA S/C TAB 40X10'S (ERGOTAMINE,CAFFEINE)</t>
  </si>
  <si>
    <t>MOM รส มิ้นท์ 240ML สทแพทย์(MM) (เขียว)</t>
  </si>
  <si>
    <t>MOM SAเชอร์รี่ 240ML (THแพทย์(MM) (แดง)</t>
  </si>
  <si>
    <t>MOPRIX 20MG 14'S (OMEPRAZOLE)</t>
  </si>
  <si>
    <t>NAPROXEN 250 แผง 10X10'S [ชุมชน]</t>
  </si>
  <si>
    <t>NORFLOX 400MG T-MAN 10X10'S(CROSSA-400</t>
  </si>
  <si>
    <t>NORTUSSIN TAB 10X10S (DEXTRO,GG)</t>
  </si>
  <si>
    <t>ORREPASTE GEL ทาแผลในปาก 5G[HOE]</t>
  </si>
  <si>
    <t>FAINNEX 200MG 3XIOS ตูRS CELEBREX [MILLIMED)</t>
  </si>
  <si>
    <t>POLYTANOL 10MG 50X10'S (</t>
  </si>
  <si>
    <t>PONSTAN 500MG 25X105****ขึ้น **2กล่องแถมกระคาษ</t>
  </si>
  <si>
    <t>NOLAX 3X20S (SENNA EXTRACT) [SP</t>
  </si>
  <si>
    <t>DAMINT UD 1000'S(SODIUM BICARBONA</t>
  </si>
  <si>
    <t>TENOSALIC OINTSGM [T-MAN]</t>
  </si>
  <si>
    <t>THYROSIT 100MG 50X10'S(LEVOTHYROXIN</t>
  </si>
  <si>
    <t>TYLENOL 500 MG 20X10S (PARA)******</t>
  </si>
  <si>
    <t>ZIMMEX 20MG 3X10S(SIMVASTATIN)******</t>
  </si>
  <si>
    <t>ZYNO CREAM 0.02% 5G [BKD](TRIAMCINOLO</t>
  </si>
  <si>
    <t>ไอน้ำดำเสือดาว (ล) 60ML</t>
  </si>
  <si>
    <t>ของแถม KASHAA PLUS 30S</t>
  </si>
  <si>
    <t>ของแถมยาครึ้ม T-MAN BASINA มิ้น 10S อมแก้ก็บคอ</t>
  </si>
  <si>
    <t>สูตร ATARAXITHIพทย์ 100XIOSแดง (HYDROXYZINE)</t>
  </si>
  <si>
    <t xml:space="preserve">ACYCLOVIR </t>
  </si>
  <si>
    <t>ALCOHOL</t>
  </si>
  <si>
    <t>ALLOPURINOL</t>
  </si>
  <si>
    <t>Amoxicillin +clavulanic</t>
  </si>
  <si>
    <t>ETORICOXIB</t>
  </si>
  <si>
    <t>Atenol</t>
  </si>
  <si>
    <t>AZITHROMYCIN</t>
  </si>
  <si>
    <t>B COMPLEX</t>
  </si>
  <si>
    <t>Benzac</t>
  </si>
  <si>
    <t>60gm</t>
  </si>
  <si>
    <t>TRIAMCINOLONE</t>
  </si>
  <si>
    <t>BETAMETHASONE</t>
  </si>
  <si>
    <t xml:space="preserve"> 200MG</t>
  </si>
  <si>
    <t>CALCIUM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</si>
</sst>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_-* #,##0_-;\-* #,##0_-;_-* &quot;-&quot;??_-;_-@_-"/>
  </numFmts>
  <fonts count="13" x14ac:knownFonts="1">
    <font>
      <sz val="11"/>
      <color theme="1"/>
      <name val="Tahoma"/>
      <family val="2"/>
      <charset val="222"/>
      <scheme val="minor"/>
    </font>
    <font>
      <sz val="13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ngsanaUPC"/>
      <family val="1"/>
    </font>
    <font>
      <sz val="11"/>
      <color rgb="FFFF0000"/>
      <name val="Tahoma"/>
      <family val="2"/>
      <charset val="222"/>
      <scheme val="minor"/>
    </font>
    <font>
      <sz val="11"/>
      <color theme="1"/>
      <name val="AngsanaUPC"/>
      <family val="1"/>
    </font>
    <font>
      <sz val="11"/>
      <color theme="1"/>
      <name val="Tahoma"/>
      <family val="2"/>
      <charset val="222"/>
      <scheme val="minor"/>
    </font>
    <font>
      <sz val="11"/>
      <color rgb="FF7030A0"/>
      <name val="Tahoma"/>
      <family val="2"/>
      <charset val="222"/>
      <scheme val="minor"/>
    </font>
    <font>
      <sz val="10"/>
      <color theme="1"/>
      <name val="AngsanaUPC"/>
      <family val="1"/>
    </font>
    <font>
      <sz val="11"/>
      <color theme="1"/>
      <name val="Angsana New"/>
      <family val="1"/>
    </font>
    <font>
      <sz val="10"/>
      <color theme="1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11"/>
      <color rgb="FF7030A0"/>
      <name val="AngsanaUPC"/>
      <family val="1"/>
    </font>
  </fonts>
  <fills count="19">
    <fill>
      <patternFill patternType="none"/>
    </fill>
    <fill>
      <patternFill patternType="gray125"/>
    </fill>
    <fill>
      <patternFill patternType="solid">
        <fgColor rgb="FFA64D7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7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9" fontId="1" fillId="6" borderId="2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9" fontId="1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3" fontId="2" fillId="8" borderId="4" xfId="0" applyNumberFormat="1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13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13" borderId="7" xfId="0" applyFont="1" applyFill="1" applyBorder="1" applyAlignment="1">
      <alignment vertical="center" wrapText="1"/>
    </xf>
    <xf numFmtId="0" fontId="2" fillId="13" borderId="8" xfId="0" applyFont="1" applyFill="1" applyBorder="1" applyAlignment="1">
      <alignment vertical="center" wrapText="1"/>
    </xf>
    <xf numFmtId="0" fontId="2" fillId="13" borderId="9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2" fillId="13" borderId="8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10" xfId="0" applyFont="1" applyBorder="1" applyAlignment="1">
      <alignment vertical="center" wrapText="1"/>
    </xf>
    <xf numFmtId="14" fontId="0" fillId="0" borderId="0" xfId="0" applyNumberFormat="1"/>
    <xf numFmtId="43" fontId="0" fillId="0" borderId="0" xfId="1" applyFont="1"/>
    <xf numFmtId="4" fontId="0" fillId="0" borderId="0" xfId="0" applyNumberFormat="1"/>
    <xf numFmtId="4" fontId="0" fillId="0" borderId="0" xfId="0" applyNumberFormat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43" fontId="0" fillId="0" borderId="0" xfId="1" applyFont="1" applyAlignment="1">
      <alignment horizontal="center"/>
    </xf>
    <xf numFmtId="0" fontId="0" fillId="0" borderId="12" xfId="0" applyBorder="1" applyAlignment="1">
      <alignment horizontal="center"/>
    </xf>
    <xf numFmtId="14" fontId="7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vertical="center" wrapText="1"/>
    </xf>
    <xf numFmtId="0" fontId="5" fillId="0" borderId="10" xfId="0" applyFont="1" applyBorder="1" applyAlignment="1">
      <alignment wrapText="1"/>
    </xf>
    <xf numFmtId="0" fontId="5" fillId="0" borderId="10" xfId="0" applyFont="1" applyBorder="1"/>
    <xf numFmtId="0" fontId="8" fillId="0" borderId="11" xfId="0" applyFont="1" applyBorder="1" applyAlignment="1">
      <alignment vertical="center" wrapText="1"/>
    </xf>
    <xf numFmtId="0" fontId="8" fillId="0" borderId="10" xfId="0" applyFont="1" applyBorder="1" applyAlignment="1">
      <alignment wrapText="1"/>
    </xf>
    <xf numFmtId="0" fontId="9" fillId="0" borderId="10" xfId="0" applyFont="1" applyBorder="1"/>
    <xf numFmtId="0" fontId="3" fillId="0" borderId="10" xfId="0" applyFont="1" applyBorder="1" applyAlignment="1">
      <alignment vertical="center" wrapText="1"/>
    </xf>
    <xf numFmtId="0" fontId="0" fillId="16" borderId="10" xfId="0" applyFill="1" applyBorder="1" applyAlignment="1">
      <alignment horizontal="center"/>
    </xf>
    <xf numFmtId="0" fontId="0" fillId="16" borderId="10" xfId="0" applyFill="1" applyBorder="1"/>
    <xf numFmtId="43" fontId="0" fillId="16" borderId="10" xfId="1" applyFont="1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43" fontId="0" fillId="0" borderId="10" xfId="0" applyNumberFormat="1" applyBorder="1"/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/>
    </xf>
    <xf numFmtId="0" fontId="0" fillId="15" borderId="10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17" borderId="10" xfId="0" applyFill="1" applyBorder="1" applyAlignment="1">
      <alignment horizontal="center" vertical="center"/>
    </xf>
    <xf numFmtId="43" fontId="0" fillId="17" borderId="10" xfId="0" applyNumberFormat="1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10" fillId="17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16" borderId="0" xfId="0" applyFont="1" applyFill="1" applyAlignment="1">
      <alignment horizontal="center" vertical="center" wrapText="1"/>
    </xf>
    <xf numFmtId="43" fontId="0" fillId="18" borderId="14" xfId="1" applyFont="1" applyFill="1" applyBorder="1"/>
    <xf numFmtId="0" fontId="0" fillId="18" borderId="10" xfId="0" applyFill="1" applyBorder="1"/>
    <xf numFmtId="43" fontId="0" fillId="18" borderId="10" xfId="1" applyFont="1" applyFill="1" applyBorder="1"/>
    <xf numFmtId="0" fontId="0" fillId="18" borderId="10" xfId="0" applyFill="1" applyBorder="1" applyAlignment="1">
      <alignment horizontal="center"/>
    </xf>
    <xf numFmtId="4" fontId="0" fillId="18" borderId="10" xfId="0" applyNumberFormat="1" applyFill="1" applyBorder="1"/>
    <xf numFmtId="0" fontId="0" fillId="18" borderId="12" xfId="0" applyFill="1" applyBorder="1"/>
    <xf numFmtId="4" fontId="0" fillId="18" borderId="10" xfId="0" applyNumberFormat="1" applyFill="1" applyBorder="1" applyAlignment="1">
      <alignment horizontal="center"/>
    </xf>
    <xf numFmtId="0" fontId="8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horizontal="center"/>
    </xf>
    <xf numFmtId="0" fontId="10" fillId="18" borderId="10" xfId="0" applyFont="1" applyFill="1" applyBorder="1"/>
    <xf numFmtId="0" fontId="0" fillId="0" borderId="11" xfId="0" applyBorder="1" applyAlignment="1">
      <alignment horizontal="center" vertical="center"/>
    </xf>
    <xf numFmtId="0" fontId="0" fillId="16" borderId="10" xfId="0" applyFill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43" fontId="0" fillId="18" borderId="10" xfId="1" applyFont="1" applyFill="1" applyBorder="1" applyAlignment="1">
      <alignment vertical="center"/>
    </xf>
    <xf numFmtId="43" fontId="0" fillId="16" borderId="10" xfId="1" applyFont="1" applyFill="1" applyBorder="1" applyAlignment="1">
      <alignment horizontal="center" vertical="center"/>
    </xf>
    <xf numFmtId="188" fontId="0" fillId="0" borderId="0" xfId="1" applyNumberFormat="1" applyFont="1" applyAlignment="1">
      <alignment horizontal="center" vertical="center"/>
    </xf>
    <xf numFmtId="188" fontId="0" fillId="16" borderId="10" xfId="0" applyNumberFormat="1" applyFill="1" applyBorder="1" applyAlignment="1">
      <alignment horizontal="center" vertical="center"/>
    </xf>
    <xf numFmtId="188" fontId="0" fillId="16" borderId="10" xfId="1" applyNumberFormat="1" applyFont="1" applyFill="1" applyBorder="1" applyAlignment="1">
      <alignment horizontal="center" vertical="center"/>
    </xf>
    <xf numFmtId="43" fontId="0" fillId="14" borderId="0" xfId="1" applyFont="1" applyFill="1" applyAlignment="1">
      <alignment horizontal="center" vertical="center" wrapText="1"/>
    </xf>
    <xf numFmtId="2" fontId="0" fillId="18" borderId="10" xfId="0" applyNumberFormat="1" applyFill="1" applyBorder="1" applyAlignment="1">
      <alignment horizontal="center"/>
    </xf>
    <xf numFmtId="43" fontId="0" fillId="18" borderId="10" xfId="1" applyFont="1" applyFill="1" applyBorder="1" applyAlignment="1">
      <alignment horizontal="center"/>
    </xf>
    <xf numFmtId="43" fontId="0" fillId="0" borderId="0" xfId="1" applyFont="1" applyAlignment="1">
      <alignment horizontal="center" vertical="center"/>
    </xf>
    <xf numFmtId="14" fontId="1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4" fontId="11" fillId="0" borderId="0" xfId="0" applyNumberFormat="1" applyFont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left"/>
    </xf>
    <xf numFmtId="0" fontId="11" fillId="0" borderId="10" xfId="0" applyFont="1" applyBorder="1"/>
    <xf numFmtId="0" fontId="11" fillId="0" borderId="10" xfId="0" applyFont="1" applyBorder="1" applyAlignment="1">
      <alignment vertical="center"/>
    </xf>
    <xf numFmtId="14" fontId="11" fillId="0" borderId="10" xfId="0" applyNumberFormat="1" applyFont="1" applyBorder="1" applyAlignment="1">
      <alignment horizontal="center"/>
    </xf>
    <xf numFmtId="43" fontId="0" fillId="15" borderId="0" xfId="1" applyFont="1" applyFill="1" applyAlignment="1">
      <alignment horizontal="center" vertical="center" wrapText="1"/>
    </xf>
    <xf numFmtId="43" fontId="0" fillId="15" borderId="10" xfId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43" fontId="10" fillId="16" borderId="0" xfId="1" applyFont="1" applyFill="1" applyAlignment="1">
      <alignment horizontal="center" vertical="center" wrapText="1"/>
    </xf>
    <xf numFmtId="43" fontId="0" fillId="16" borderId="10" xfId="0" applyNumberFormat="1" applyFill="1" applyBorder="1" applyAlignment="1">
      <alignment horizontal="center"/>
    </xf>
    <xf numFmtId="43" fontId="10" fillId="17" borderId="0" xfId="1" applyFont="1" applyFill="1" applyAlignment="1">
      <alignment horizontal="center" vertical="center" wrapText="1"/>
    </xf>
    <xf numFmtId="43" fontId="0" fillId="17" borderId="10" xfId="1" applyFont="1" applyFill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/>
    </xf>
    <xf numFmtId="0" fontId="7" fillId="0" borderId="10" xfId="0" applyFont="1" applyBorder="1"/>
    <xf numFmtId="43" fontId="7" fillId="18" borderId="14" xfId="1" applyFont="1" applyFill="1" applyBorder="1"/>
    <xf numFmtId="0" fontId="7" fillId="16" borderId="10" xfId="0" applyFont="1" applyFill="1" applyBorder="1" applyAlignment="1">
      <alignment horizontal="center"/>
    </xf>
    <xf numFmtId="0" fontId="7" fillId="16" borderId="10" xfId="0" applyFont="1" applyFill="1" applyBorder="1"/>
    <xf numFmtId="0" fontId="7" fillId="17" borderId="10" xfId="0" applyFont="1" applyFill="1" applyBorder="1" applyAlignment="1">
      <alignment horizontal="center"/>
    </xf>
    <xf numFmtId="0" fontId="7" fillId="17" borderId="10" xfId="0" applyFont="1" applyFill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/>
    </xf>
    <xf numFmtId="43" fontId="7" fillId="15" borderId="10" xfId="1" applyFont="1" applyFill="1" applyBorder="1" applyAlignment="1">
      <alignment horizontal="center" vertical="center"/>
    </xf>
    <xf numFmtId="0" fontId="7" fillId="0" borderId="0" xfId="0" applyFont="1"/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" fontId="7" fillId="16" borderId="10" xfId="0" applyNumberFormat="1" applyFont="1" applyFill="1" applyBorder="1" applyAlignment="1">
      <alignment horizontal="center"/>
    </xf>
    <xf numFmtId="0" fontId="7" fillId="16" borderId="10" xfId="0" applyFont="1" applyFill="1" applyBorder="1" applyAlignment="1">
      <alignment vertical="center"/>
    </xf>
    <xf numFmtId="0" fontId="7" fillId="16" borderId="10" xfId="0" applyFont="1" applyFill="1" applyBorder="1" applyAlignment="1">
      <alignment horizontal="center" vertical="center"/>
    </xf>
    <xf numFmtId="43" fontId="7" fillId="18" borderId="0" xfId="1" applyFont="1" applyFill="1" applyAlignment="1">
      <alignment horizontal="center" vertical="center"/>
    </xf>
    <xf numFmtId="1" fontId="7" fillId="16" borderId="10" xfId="1" applyNumberFormat="1" applyFont="1" applyFill="1" applyBorder="1" applyAlignment="1">
      <alignment horizontal="center"/>
    </xf>
    <xf numFmtId="43" fontId="7" fillId="16" borderId="10" xfId="1" applyFont="1" applyFill="1" applyBorder="1" applyAlignment="1">
      <alignment horizontal="center" vertical="center"/>
    </xf>
    <xf numFmtId="43" fontId="7" fillId="16" borderId="10" xfId="1" applyFont="1" applyFill="1" applyBorder="1" applyAlignment="1">
      <alignment horizontal="center"/>
    </xf>
    <xf numFmtId="43" fontId="7" fillId="18" borderId="10" xfId="1" applyFont="1" applyFill="1" applyBorder="1" applyAlignment="1">
      <alignment horizontal="center" vertical="center"/>
    </xf>
    <xf numFmtId="1" fontId="7" fillId="16" borderId="10" xfId="1" applyNumberFormat="1" applyFont="1" applyFill="1" applyBorder="1" applyAlignment="1">
      <alignment horizontal="center" vertical="center"/>
    </xf>
    <xf numFmtId="43" fontId="7" fillId="18" borderId="0" xfId="1" applyFont="1" applyFill="1" applyAlignment="1">
      <alignment horizontal="center"/>
    </xf>
    <xf numFmtId="43" fontId="7" fillId="18" borderId="14" xfId="1" applyFont="1" applyFill="1" applyBorder="1" applyAlignment="1">
      <alignment horizontal="center"/>
    </xf>
    <xf numFmtId="43" fontId="7" fillId="18" borderId="14" xfId="1" applyFont="1" applyFill="1" applyBorder="1" applyAlignment="1">
      <alignment horizontal="center" vertical="center"/>
    </xf>
    <xf numFmtId="43" fontId="7" fillId="18" borderId="10" xfId="1" applyFont="1" applyFill="1" applyBorder="1" applyAlignment="1">
      <alignment horizontal="center"/>
    </xf>
    <xf numFmtId="0" fontId="12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7" fillId="18" borderId="10" xfId="0" applyFont="1" applyFill="1" applyBorder="1"/>
    <xf numFmtId="43" fontId="7" fillId="18" borderId="10" xfId="1" applyFont="1" applyFill="1" applyBorder="1"/>
    <xf numFmtId="0" fontId="7" fillId="17" borderId="11" xfId="0" applyFont="1" applyFill="1" applyBorder="1" applyAlignment="1">
      <alignment horizontal="center"/>
    </xf>
    <xf numFmtId="43" fontId="7" fillId="18" borderId="10" xfId="0" applyNumberFormat="1" applyFont="1" applyFill="1" applyBorder="1"/>
    <xf numFmtId="43" fontId="7" fillId="18" borderId="10" xfId="0" applyNumberFormat="1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2" xfId="0" applyFont="1" applyBorder="1"/>
    <xf numFmtId="43" fontId="7" fillId="18" borderId="12" xfId="1" applyFont="1" applyFill="1" applyBorder="1"/>
    <xf numFmtId="0" fontId="7" fillId="16" borderId="12" xfId="0" applyFont="1" applyFill="1" applyBorder="1" applyAlignment="1">
      <alignment horizontal="center"/>
    </xf>
    <xf numFmtId="0" fontId="7" fillId="16" borderId="12" xfId="0" applyFont="1" applyFill="1" applyBorder="1"/>
    <xf numFmtId="43" fontId="7" fillId="16" borderId="12" xfId="1" applyFont="1" applyFill="1" applyBorder="1" applyAlignment="1">
      <alignment horizontal="center"/>
    </xf>
    <xf numFmtId="0" fontId="7" fillId="17" borderId="12" xfId="0" applyFont="1" applyFill="1" applyBorder="1" applyAlignment="1">
      <alignment horizontal="center"/>
    </xf>
    <xf numFmtId="0" fontId="7" fillId="16" borderId="12" xfId="0" applyFont="1" applyFill="1" applyBorder="1" applyAlignment="1">
      <alignment horizontal="center" vertical="center"/>
    </xf>
    <xf numFmtId="0" fontId="7" fillId="17" borderId="12" xfId="0" applyFont="1" applyFill="1" applyBorder="1" applyAlignment="1">
      <alignment horizontal="center" vertical="center"/>
    </xf>
    <xf numFmtId="0" fontId="7" fillId="15" borderId="12" xfId="0" applyFont="1" applyFill="1" applyBorder="1" applyAlignment="1">
      <alignment horizontal="center" vertical="center"/>
    </xf>
    <xf numFmtId="43" fontId="7" fillId="15" borderId="12" xfId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BE129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4CF7-5FDC-4B8F-9630-47ED8779AC0B}">
  <sheetPr>
    <tabColor rgb="FFFFFF00"/>
  </sheetPr>
  <dimension ref="A2:Z439"/>
  <sheetViews>
    <sheetView tabSelected="1" zoomScaleNormal="100" workbookViewId="0">
      <pane ySplit="2" topLeftCell="A3" activePane="bottomLeft" state="frozen"/>
      <selection pane="bottomLeft" activeCell="M432" sqref="M432"/>
    </sheetView>
  </sheetViews>
  <sheetFormatPr defaultRowHeight="14.25" x14ac:dyDescent="0.2"/>
  <cols>
    <col min="1" max="1" width="10.875" style="40" customWidth="1"/>
    <col min="2" max="2" width="7.75" style="40" customWidth="1"/>
    <col min="3" max="3" width="48.625" customWidth="1"/>
    <col min="4" max="4" width="11.25" style="40" customWidth="1"/>
    <col min="5" max="5" width="19.25" customWidth="1"/>
    <col min="6" max="6" width="8.625" style="40" customWidth="1"/>
    <col min="7" max="8" width="8.625" customWidth="1"/>
    <col min="9" max="9" width="10.5" style="110" customWidth="1"/>
    <col min="10" max="10" width="8.25" style="40" customWidth="1"/>
    <col min="11" max="11" width="9" style="17"/>
    <col min="12" max="12" width="9.375" style="110" bestFit="1" customWidth="1"/>
    <col min="13" max="13" width="9" style="40"/>
    <col min="14" max="14" width="9" style="17"/>
    <col min="15" max="15" width="9" style="110"/>
    <col min="16" max="17" width="9" style="17"/>
    <col min="18" max="18" width="9" style="110"/>
  </cols>
  <sheetData>
    <row r="2" spans="1:26" ht="39.75" customHeight="1" x14ac:dyDescent="0.2">
      <c r="A2" s="40" t="s">
        <v>516</v>
      </c>
      <c r="B2" s="40" t="s">
        <v>517</v>
      </c>
      <c r="C2" t="s">
        <v>246</v>
      </c>
      <c r="D2" s="86" t="s">
        <v>518</v>
      </c>
      <c r="E2" s="74" t="s">
        <v>31</v>
      </c>
      <c r="F2" s="86" t="s">
        <v>32</v>
      </c>
      <c r="G2" s="74" t="s">
        <v>239</v>
      </c>
      <c r="H2" s="74" t="s">
        <v>33</v>
      </c>
      <c r="I2" s="107" t="s">
        <v>34</v>
      </c>
      <c r="J2" s="87" t="s">
        <v>35</v>
      </c>
      <c r="K2" s="87" t="s">
        <v>36</v>
      </c>
      <c r="L2" s="123" t="s">
        <v>37</v>
      </c>
      <c r="M2" s="84" t="s">
        <v>38</v>
      </c>
      <c r="N2" s="84" t="s">
        <v>36</v>
      </c>
      <c r="O2" s="125" t="s">
        <v>39</v>
      </c>
      <c r="P2" s="85" t="s">
        <v>40</v>
      </c>
      <c r="Q2" s="85" t="s">
        <v>36</v>
      </c>
      <c r="R2" s="120" t="s">
        <v>41</v>
      </c>
      <c r="S2">
        <v>0.2</v>
      </c>
      <c r="T2">
        <v>0.5</v>
      </c>
      <c r="U2">
        <v>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</row>
    <row r="3" spans="1:26" x14ac:dyDescent="0.2">
      <c r="A3" s="46">
        <v>244210</v>
      </c>
      <c r="B3" s="48"/>
      <c r="C3" s="47" t="s">
        <v>252</v>
      </c>
      <c r="D3" s="48" t="s">
        <v>653</v>
      </c>
      <c r="E3" s="47"/>
      <c r="F3" s="48"/>
      <c r="G3" s="48"/>
      <c r="H3" s="47"/>
      <c r="I3" s="88">
        <v>48</v>
      </c>
      <c r="J3" s="66">
        <v>3</v>
      </c>
      <c r="K3" s="99" t="s">
        <v>519</v>
      </c>
      <c r="L3" s="68">
        <v>16</v>
      </c>
      <c r="M3" s="69">
        <v>1</v>
      </c>
      <c r="N3" s="78" t="s">
        <v>519</v>
      </c>
      <c r="O3" s="78"/>
      <c r="P3" s="76"/>
      <c r="Q3" s="76"/>
      <c r="R3" s="121">
        <f t="shared" ref="R3:R6" si="0">O3/M3</f>
        <v>0</v>
      </c>
    </row>
    <row r="4" spans="1:26" x14ac:dyDescent="0.2">
      <c r="A4" s="46">
        <v>244210</v>
      </c>
      <c r="B4" s="48"/>
      <c r="C4" s="47" t="s">
        <v>254</v>
      </c>
      <c r="D4" s="48" t="s">
        <v>653</v>
      </c>
      <c r="E4" s="47"/>
      <c r="F4" s="48"/>
      <c r="G4" s="48"/>
      <c r="H4" s="47"/>
      <c r="I4" s="88">
        <v>48</v>
      </c>
      <c r="J4" s="66">
        <v>3</v>
      </c>
      <c r="K4" s="99" t="s">
        <v>519</v>
      </c>
      <c r="L4" s="68">
        <v>16</v>
      </c>
      <c r="M4" s="69">
        <v>1</v>
      </c>
      <c r="N4" s="78" t="s">
        <v>519</v>
      </c>
      <c r="O4" s="78"/>
      <c r="P4" s="76"/>
      <c r="Q4" s="76"/>
      <c r="R4" s="121">
        <f t="shared" si="0"/>
        <v>0</v>
      </c>
    </row>
    <row r="5" spans="1:26" x14ac:dyDescent="0.2">
      <c r="A5" s="46">
        <v>244210</v>
      </c>
      <c r="B5" s="48"/>
      <c r="C5" s="47" t="s">
        <v>255</v>
      </c>
      <c r="D5" s="48" t="s">
        <v>653</v>
      </c>
      <c r="E5" s="47"/>
      <c r="F5" s="48"/>
      <c r="G5" s="48"/>
      <c r="H5" s="47"/>
      <c r="I5" s="88">
        <v>336</v>
      </c>
      <c r="J5" s="66">
        <v>20</v>
      </c>
      <c r="K5" s="99" t="s">
        <v>54</v>
      </c>
      <c r="L5" s="68">
        <v>16.8</v>
      </c>
      <c r="M5" s="69">
        <v>1</v>
      </c>
      <c r="N5" s="78" t="s">
        <v>54</v>
      </c>
      <c r="O5" s="78"/>
      <c r="P5" s="76"/>
      <c r="Q5" s="76"/>
      <c r="R5" s="121">
        <f t="shared" si="0"/>
        <v>0</v>
      </c>
    </row>
    <row r="6" spans="1:26" x14ac:dyDescent="0.2">
      <c r="A6" s="46">
        <v>244210</v>
      </c>
      <c r="B6" s="48"/>
      <c r="C6" s="47" t="s">
        <v>257</v>
      </c>
      <c r="D6" s="48" t="s">
        <v>653</v>
      </c>
      <c r="E6" s="47"/>
      <c r="F6" s="48"/>
      <c r="G6" s="48"/>
      <c r="H6" s="47"/>
      <c r="I6" s="88">
        <v>140</v>
      </c>
      <c r="J6" s="66">
        <v>4</v>
      </c>
      <c r="K6" s="99" t="s">
        <v>57</v>
      </c>
      <c r="L6" s="68">
        <v>35</v>
      </c>
      <c r="M6" s="69">
        <v>5</v>
      </c>
      <c r="N6" s="78" t="s">
        <v>51</v>
      </c>
      <c r="O6" s="78"/>
      <c r="P6" s="76"/>
      <c r="Q6" s="76"/>
      <c r="R6" s="121">
        <f t="shared" si="0"/>
        <v>0</v>
      </c>
    </row>
    <row r="7" spans="1:26" x14ac:dyDescent="0.2">
      <c r="A7" s="46">
        <v>244210</v>
      </c>
      <c r="B7" s="48"/>
      <c r="C7" s="47" t="s">
        <v>680</v>
      </c>
      <c r="D7" s="48" t="s">
        <v>653</v>
      </c>
      <c r="E7" s="47"/>
      <c r="F7" s="48"/>
      <c r="G7" s="47"/>
      <c r="H7" s="47"/>
      <c r="I7" s="88">
        <v>151</v>
      </c>
      <c r="J7" s="66">
        <v>1</v>
      </c>
      <c r="K7" s="99" t="s">
        <v>50</v>
      </c>
      <c r="L7" s="68">
        <v>151</v>
      </c>
      <c r="M7" s="69">
        <v>1</v>
      </c>
      <c r="N7" s="78" t="s">
        <v>50</v>
      </c>
      <c r="O7" s="79">
        <f>L7/100</f>
        <v>1.51</v>
      </c>
      <c r="P7" s="76">
        <v>1</v>
      </c>
      <c r="Q7" s="76" t="s">
        <v>158</v>
      </c>
      <c r="R7" s="121">
        <f>O7/M7</f>
        <v>1.51</v>
      </c>
    </row>
    <row r="8" spans="1:26" x14ac:dyDescent="0.2">
      <c r="A8" s="46">
        <v>244210</v>
      </c>
      <c r="B8" s="48"/>
      <c r="C8" s="47" t="s">
        <v>261</v>
      </c>
      <c r="D8" s="48" t="s">
        <v>653</v>
      </c>
      <c r="E8" s="47"/>
      <c r="F8" s="48"/>
      <c r="G8" s="47"/>
      <c r="H8" s="47"/>
      <c r="I8" s="88">
        <v>65</v>
      </c>
      <c r="J8" s="66">
        <v>1</v>
      </c>
      <c r="K8" s="99" t="s">
        <v>50</v>
      </c>
      <c r="L8" s="68">
        <v>65</v>
      </c>
      <c r="M8" s="69">
        <v>1</v>
      </c>
      <c r="N8" s="78" t="s">
        <v>50</v>
      </c>
      <c r="O8" s="78"/>
      <c r="P8" s="76"/>
      <c r="Q8" s="76"/>
      <c r="R8" s="121">
        <f t="shared" ref="R8:R22" si="1">O8/M8</f>
        <v>0</v>
      </c>
    </row>
    <row r="9" spans="1:26" x14ac:dyDescent="0.2">
      <c r="A9" s="46">
        <v>244210</v>
      </c>
      <c r="B9" s="48"/>
      <c r="C9" s="47" t="s">
        <v>263</v>
      </c>
      <c r="D9" s="48" t="s">
        <v>653</v>
      </c>
      <c r="E9" s="47"/>
      <c r="F9" s="48"/>
      <c r="G9" s="47"/>
      <c r="H9" s="47"/>
      <c r="I9" s="88">
        <v>144</v>
      </c>
      <c r="J9" s="66">
        <v>3</v>
      </c>
      <c r="K9" s="99" t="s">
        <v>158</v>
      </c>
      <c r="L9" s="68">
        <v>48</v>
      </c>
      <c r="M9" s="69">
        <v>1</v>
      </c>
      <c r="N9" s="78" t="s">
        <v>158</v>
      </c>
      <c r="O9" s="78"/>
      <c r="P9" s="76"/>
      <c r="Q9" s="76"/>
      <c r="R9" s="121">
        <f t="shared" si="1"/>
        <v>0</v>
      </c>
    </row>
    <row r="10" spans="1:26" x14ac:dyDescent="0.2">
      <c r="A10" s="46">
        <v>244210</v>
      </c>
      <c r="B10" s="48"/>
      <c r="C10" s="47" t="s">
        <v>265</v>
      </c>
      <c r="D10" s="48" t="s">
        <v>653</v>
      </c>
      <c r="E10" s="47"/>
      <c r="F10" s="48"/>
      <c r="G10" s="47"/>
      <c r="H10" s="47"/>
      <c r="I10" s="88">
        <v>69</v>
      </c>
      <c r="J10" s="66">
        <v>25</v>
      </c>
      <c r="K10" s="99" t="s">
        <v>158</v>
      </c>
      <c r="L10" s="68">
        <v>23</v>
      </c>
      <c r="M10" s="69"/>
      <c r="N10" s="78"/>
      <c r="O10" s="78"/>
      <c r="P10" s="76"/>
      <c r="Q10" s="76"/>
      <c r="R10" s="121" t="e">
        <f t="shared" si="1"/>
        <v>#DIV/0!</v>
      </c>
    </row>
    <row r="11" spans="1:26" x14ac:dyDescent="0.2">
      <c r="A11" s="46">
        <v>244210</v>
      </c>
      <c r="B11" s="48"/>
      <c r="C11" s="47" t="s">
        <v>267</v>
      </c>
      <c r="D11" s="48" t="s">
        <v>653</v>
      </c>
      <c r="E11" s="47"/>
      <c r="F11" s="48"/>
      <c r="G11" s="47"/>
      <c r="H11" s="47"/>
      <c r="I11" s="88">
        <v>225</v>
      </c>
      <c r="J11" s="66" t="s">
        <v>268</v>
      </c>
      <c r="K11" s="99"/>
      <c r="L11" s="68">
        <v>9</v>
      </c>
      <c r="M11" s="69"/>
      <c r="N11" s="78"/>
      <c r="O11" s="78"/>
      <c r="P11" s="76"/>
      <c r="Q11" s="76"/>
      <c r="R11" s="121" t="e">
        <f t="shared" si="1"/>
        <v>#DIV/0!</v>
      </c>
    </row>
    <row r="12" spans="1:26" x14ac:dyDescent="0.2">
      <c r="A12" s="46">
        <v>244210</v>
      </c>
      <c r="B12" s="48"/>
      <c r="C12" s="47" t="s">
        <v>269</v>
      </c>
      <c r="D12" s="48">
        <v>12</v>
      </c>
      <c r="E12" s="47" t="s">
        <v>654</v>
      </c>
      <c r="F12" s="48"/>
      <c r="G12" s="47"/>
      <c r="H12" s="47"/>
      <c r="I12" s="88">
        <v>70</v>
      </c>
      <c r="J12" s="66" t="s">
        <v>270</v>
      </c>
      <c r="K12" s="99"/>
      <c r="L12" s="68">
        <v>3.5</v>
      </c>
      <c r="M12" s="69"/>
      <c r="N12" s="78"/>
      <c r="O12" s="78"/>
      <c r="P12" s="76"/>
      <c r="Q12" s="76"/>
      <c r="R12" s="121" t="e">
        <f t="shared" si="1"/>
        <v>#DIV/0!</v>
      </c>
    </row>
    <row r="13" spans="1:26" x14ac:dyDescent="0.2">
      <c r="A13" s="46">
        <v>244210</v>
      </c>
      <c r="B13" s="48"/>
      <c r="C13" s="47" t="s">
        <v>271</v>
      </c>
      <c r="D13" s="48"/>
      <c r="E13" s="47"/>
      <c r="F13" s="48"/>
      <c r="G13" s="47"/>
      <c r="H13" s="47"/>
      <c r="I13" s="88">
        <v>300</v>
      </c>
      <c r="J13" s="66">
        <v>1</v>
      </c>
      <c r="K13" s="99" t="s">
        <v>50</v>
      </c>
      <c r="L13" s="68">
        <v>300</v>
      </c>
      <c r="M13" s="69"/>
      <c r="N13" s="78"/>
      <c r="O13" s="78"/>
      <c r="P13" s="76"/>
      <c r="Q13" s="76"/>
      <c r="R13" s="121" t="e">
        <f t="shared" si="1"/>
        <v>#DIV/0!</v>
      </c>
    </row>
    <row r="14" spans="1:26" x14ac:dyDescent="0.2">
      <c r="A14" s="119">
        <v>244210</v>
      </c>
      <c r="B14" s="115"/>
      <c r="C14" s="117" t="s">
        <v>272</v>
      </c>
      <c r="D14" s="48"/>
      <c r="E14" s="47"/>
      <c r="F14" s="48"/>
      <c r="G14" s="47"/>
      <c r="H14" s="47"/>
      <c r="I14" s="88">
        <v>35</v>
      </c>
      <c r="J14" s="66" t="s">
        <v>273</v>
      </c>
      <c r="K14" s="99" t="s">
        <v>64</v>
      </c>
      <c r="L14" s="68">
        <v>35</v>
      </c>
      <c r="M14" s="69"/>
      <c r="N14" s="78"/>
      <c r="O14" s="78"/>
      <c r="P14" s="76"/>
      <c r="Q14" s="76"/>
      <c r="R14" s="121" t="e">
        <f t="shared" si="1"/>
        <v>#DIV/0!</v>
      </c>
    </row>
    <row r="15" spans="1:26" x14ac:dyDescent="0.2">
      <c r="A15" s="119">
        <v>244210</v>
      </c>
      <c r="B15" s="115"/>
      <c r="C15" s="117" t="s">
        <v>274</v>
      </c>
      <c r="D15" s="48"/>
      <c r="E15" s="47"/>
      <c r="F15" s="48"/>
      <c r="G15" s="47"/>
      <c r="H15" s="47"/>
      <c r="I15" s="88">
        <v>155</v>
      </c>
      <c r="J15" s="66" t="s">
        <v>275</v>
      </c>
      <c r="K15" s="99" t="s">
        <v>51</v>
      </c>
      <c r="L15" s="68">
        <v>31</v>
      </c>
      <c r="M15" s="69"/>
      <c r="N15" s="78"/>
      <c r="O15" s="78"/>
      <c r="P15" s="76"/>
      <c r="Q15" s="76"/>
      <c r="R15" s="121" t="e">
        <f t="shared" si="1"/>
        <v>#DIV/0!</v>
      </c>
    </row>
    <row r="16" spans="1:26" x14ac:dyDescent="0.2">
      <c r="A16" s="127">
        <v>244210</v>
      </c>
      <c r="B16" s="122" t="s">
        <v>821</v>
      </c>
      <c r="C16" s="128" t="s">
        <v>279</v>
      </c>
      <c r="D16" s="122"/>
      <c r="E16" s="47"/>
      <c r="F16" s="48"/>
      <c r="G16" s="47"/>
      <c r="H16" s="47"/>
      <c r="I16" s="129">
        <v>251.5</v>
      </c>
      <c r="J16" s="130">
        <v>1</v>
      </c>
      <c r="K16" s="140" t="s">
        <v>50</v>
      </c>
      <c r="L16" s="130">
        <v>251.5</v>
      </c>
      <c r="M16" s="132">
        <v>1</v>
      </c>
      <c r="N16" s="133" t="s">
        <v>50</v>
      </c>
      <c r="O16" s="133">
        <v>251.5</v>
      </c>
      <c r="P16" s="134">
        <v>1</v>
      </c>
      <c r="Q16" s="134" t="s">
        <v>50</v>
      </c>
      <c r="R16" s="135">
        <f t="shared" si="1"/>
        <v>251.5</v>
      </c>
    </row>
    <row r="17" spans="1:18" x14ac:dyDescent="0.2">
      <c r="A17" s="127">
        <v>244210</v>
      </c>
      <c r="B17" s="122" t="s">
        <v>821</v>
      </c>
      <c r="C17" s="128" t="s">
        <v>281</v>
      </c>
      <c r="D17" s="122"/>
      <c r="E17" s="47"/>
      <c r="F17" s="48"/>
      <c r="G17" s="47"/>
      <c r="H17" s="47"/>
      <c r="I17" s="129">
        <v>224</v>
      </c>
      <c r="J17" s="130">
        <v>2</v>
      </c>
      <c r="K17" s="140" t="s">
        <v>50</v>
      </c>
      <c r="L17" s="130">
        <v>112</v>
      </c>
      <c r="M17" s="132">
        <v>12</v>
      </c>
      <c r="N17" s="133" t="s">
        <v>162</v>
      </c>
      <c r="O17" s="133">
        <v>112</v>
      </c>
      <c r="P17" s="134">
        <v>1</v>
      </c>
      <c r="Q17" s="134" t="s">
        <v>162</v>
      </c>
      <c r="R17" s="135">
        <f t="shared" si="1"/>
        <v>9.3333333333333339</v>
      </c>
    </row>
    <row r="18" spans="1:18" x14ac:dyDescent="0.2">
      <c r="A18" s="127">
        <v>244210</v>
      </c>
      <c r="B18" s="122" t="s">
        <v>821</v>
      </c>
      <c r="C18" s="128" t="s">
        <v>283</v>
      </c>
      <c r="D18" s="122"/>
      <c r="E18" s="47"/>
      <c r="F18" s="48"/>
      <c r="G18" s="47"/>
      <c r="H18" s="47"/>
      <c r="I18" s="129">
        <v>113</v>
      </c>
      <c r="J18" s="139">
        <v>1</v>
      </c>
      <c r="K18" s="141" t="s">
        <v>50</v>
      </c>
      <c r="L18" s="130">
        <v>113</v>
      </c>
      <c r="M18" s="132">
        <v>100</v>
      </c>
      <c r="N18" s="133" t="s">
        <v>58</v>
      </c>
      <c r="O18" s="133">
        <v>113</v>
      </c>
      <c r="P18" s="134">
        <v>1</v>
      </c>
      <c r="Q18" s="134" t="s">
        <v>58</v>
      </c>
      <c r="R18" s="135">
        <f t="shared" si="1"/>
        <v>1.1299999999999999</v>
      </c>
    </row>
    <row r="19" spans="1:18" x14ac:dyDescent="0.2">
      <c r="A19" s="127">
        <v>244210</v>
      </c>
      <c r="B19" s="122" t="s">
        <v>821</v>
      </c>
      <c r="C19" s="128" t="s">
        <v>284</v>
      </c>
      <c r="D19" s="122"/>
      <c r="E19" s="47" t="s">
        <v>520</v>
      </c>
      <c r="F19" s="48"/>
      <c r="G19" s="47"/>
      <c r="H19" s="47"/>
      <c r="I19" s="129">
        <v>148</v>
      </c>
      <c r="J19" s="139">
        <v>2</v>
      </c>
      <c r="K19" s="141" t="s">
        <v>50</v>
      </c>
      <c r="L19" s="130">
        <v>74</v>
      </c>
      <c r="M19" s="132">
        <v>100</v>
      </c>
      <c r="N19" s="133" t="s">
        <v>158</v>
      </c>
      <c r="O19" s="133">
        <v>74</v>
      </c>
      <c r="P19" s="134">
        <v>1</v>
      </c>
      <c r="Q19" s="134" t="s">
        <v>158</v>
      </c>
      <c r="R19" s="135">
        <f t="shared" si="1"/>
        <v>0.74</v>
      </c>
    </row>
    <row r="20" spans="1:18" x14ac:dyDescent="0.2">
      <c r="A20" s="127">
        <v>244210</v>
      </c>
      <c r="B20" s="122" t="s">
        <v>821</v>
      </c>
      <c r="C20" s="128" t="s">
        <v>285</v>
      </c>
      <c r="D20" s="122"/>
      <c r="E20" s="47" t="s">
        <v>521</v>
      </c>
      <c r="F20" s="48" t="s">
        <v>522</v>
      </c>
      <c r="G20" s="47" t="s">
        <v>523</v>
      </c>
      <c r="H20" s="47"/>
      <c r="I20" s="129">
        <v>37.5</v>
      </c>
      <c r="J20" s="139">
        <v>3</v>
      </c>
      <c r="K20" s="141" t="s">
        <v>54</v>
      </c>
      <c r="L20" s="130">
        <v>12.5</v>
      </c>
      <c r="M20" s="132">
        <v>1</v>
      </c>
      <c r="N20" s="133" t="s">
        <v>54</v>
      </c>
      <c r="O20" s="133">
        <v>12.5</v>
      </c>
      <c r="P20" s="134">
        <v>1</v>
      </c>
      <c r="Q20" s="134" t="s">
        <v>54</v>
      </c>
      <c r="R20" s="135">
        <f t="shared" si="1"/>
        <v>12.5</v>
      </c>
    </row>
    <row r="21" spans="1:18" x14ac:dyDescent="0.2">
      <c r="A21" s="127">
        <v>244210</v>
      </c>
      <c r="B21" s="122" t="s">
        <v>821</v>
      </c>
      <c r="C21" s="128" t="s">
        <v>287</v>
      </c>
      <c r="D21" s="122"/>
      <c r="E21" s="47" t="s">
        <v>524</v>
      </c>
      <c r="F21" s="48"/>
      <c r="G21" s="47"/>
      <c r="H21" s="47"/>
      <c r="I21" s="129">
        <v>180</v>
      </c>
      <c r="J21" s="139">
        <v>20</v>
      </c>
      <c r="K21" s="141" t="s">
        <v>225</v>
      </c>
      <c r="L21" s="130">
        <v>9</v>
      </c>
      <c r="M21" s="132">
        <v>1</v>
      </c>
      <c r="N21" s="133" t="s">
        <v>54</v>
      </c>
      <c r="O21" s="133">
        <v>9</v>
      </c>
      <c r="P21" s="134">
        <v>1</v>
      </c>
      <c r="Q21" s="134" t="s">
        <v>54</v>
      </c>
      <c r="R21" s="135">
        <f t="shared" si="1"/>
        <v>9</v>
      </c>
    </row>
    <row r="22" spans="1:18" x14ac:dyDescent="0.2">
      <c r="A22" s="127">
        <v>244210</v>
      </c>
      <c r="B22" s="122" t="s">
        <v>821</v>
      </c>
      <c r="C22" s="128" t="s">
        <v>289</v>
      </c>
      <c r="D22" s="122">
        <v>2</v>
      </c>
      <c r="E22" s="47" t="s">
        <v>525</v>
      </c>
      <c r="F22" s="48" t="s">
        <v>526</v>
      </c>
      <c r="G22" s="47" t="s">
        <v>527</v>
      </c>
      <c r="H22" s="47"/>
      <c r="I22" s="129">
        <v>78</v>
      </c>
      <c r="J22" s="139">
        <v>3</v>
      </c>
      <c r="K22" s="141" t="s">
        <v>50</v>
      </c>
      <c r="L22" s="130">
        <v>26</v>
      </c>
      <c r="M22" s="132">
        <v>30</v>
      </c>
      <c r="N22" s="133" t="s">
        <v>58</v>
      </c>
      <c r="O22" s="133">
        <v>26</v>
      </c>
      <c r="P22" s="134">
        <v>1</v>
      </c>
      <c r="Q22" s="134" t="s">
        <v>58</v>
      </c>
      <c r="R22" s="135">
        <f t="shared" si="1"/>
        <v>0.8666666666666667</v>
      </c>
    </row>
    <row r="23" spans="1:18" x14ac:dyDescent="0.2">
      <c r="A23" s="127">
        <v>244210</v>
      </c>
      <c r="B23" s="122" t="s">
        <v>821</v>
      </c>
      <c r="C23" s="128" t="s">
        <v>291</v>
      </c>
      <c r="D23" s="122">
        <v>2</v>
      </c>
      <c r="E23" s="47" t="s">
        <v>525</v>
      </c>
      <c r="F23" s="48" t="s">
        <v>528</v>
      </c>
      <c r="G23" s="47" t="s">
        <v>527</v>
      </c>
      <c r="H23" s="47"/>
      <c r="I23" s="129">
        <v>78</v>
      </c>
      <c r="J23" s="139">
        <v>2</v>
      </c>
      <c r="K23" s="141" t="s">
        <v>50</v>
      </c>
      <c r="L23" s="130">
        <v>39</v>
      </c>
      <c r="M23" s="132">
        <v>30</v>
      </c>
      <c r="N23" s="133" t="s">
        <v>58</v>
      </c>
      <c r="O23" s="133">
        <v>39</v>
      </c>
      <c r="P23" s="134">
        <v>1</v>
      </c>
      <c r="Q23" s="134" t="s">
        <v>58</v>
      </c>
      <c r="R23" s="135">
        <f>O23/M23</f>
        <v>1.3</v>
      </c>
    </row>
    <row r="24" spans="1:18" x14ac:dyDescent="0.2">
      <c r="A24" s="54">
        <v>244210</v>
      </c>
      <c r="B24" s="122" t="s">
        <v>821</v>
      </c>
      <c r="C24" s="136" t="s">
        <v>857</v>
      </c>
      <c r="D24" s="122">
        <v>2</v>
      </c>
      <c r="E24" s="47" t="s">
        <v>22</v>
      </c>
      <c r="F24" s="48" t="s">
        <v>526</v>
      </c>
      <c r="G24" s="47" t="s">
        <v>529</v>
      </c>
      <c r="H24" s="47" t="s">
        <v>530</v>
      </c>
      <c r="I24" s="142">
        <v>204</v>
      </c>
      <c r="J24" s="143">
        <v>2</v>
      </c>
      <c r="K24" s="144" t="s">
        <v>50</v>
      </c>
      <c r="L24" s="145">
        <v>102</v>
      </c>
      <c r="M24" s="132">
        <v>100</v>
      </c>
      <c r="N24" s="133" t="s">
        <v>58</v>
      </c>
      <c r="O24" s="133">
        <v>102</v>
      </c>
      <c r="P24" s="134">
        <v>1</v>
      </c>
      <c r="Q24" s="134" t="s">
        <v>58</v>
      </c>
      <c r="R24" s="135">
        <f t="shared" ref="R24:R40" si="2">O24/M24</f>
        <v>1.02</v>
      </c>
    </row>
    <row r="25" spans="1:18" s="73" customFormat="1" ht="21" customHeight="1" x14ac:dyDescent="0.2">
      <c r="A25" s="137">
        <v>244210</v>
      </c>
      <c r="B25" s="122" t="s">
        <v>821</v>
      </c>
      <c r="C25" s="138" t="s">
        <v>296</v>
      </c>
      <c r="D25" s="122">
        <v>2</v>
      </c>
      <c r="E25" s="41" t="s">
        <v>22</v>
      </c>
      <c r="F25" s="57" t="s">
        <v>791</v>
      </c>
      <c r="G25" s="41" t="s">
        <v>659</v>
      </c>
      <c r="H25" s="59" t="s">
        <v>240</v>
      </c>
      <c r="I25" s="146">
        <v>186</v>
      </c>
      <c r="J25" s="147">
        <v>3</v>
      </c>
      <c r="K25" s="144" t="s">
        <v>50</v>
      </c>
      <c r="L25" s="144">
        <v>62</v>
      </c>
      <c r="M25" s="133">
        <v>100</v>
      </c>
      <c r="N25" s="133" t="s">
        <v>58</v>
      </c>
      <c r="O25" s="133">
        <v>62</v>
      </c>
      <c r="P25" s="134">
        <v>1</v>
      </c>
      <c r="Q25" s="134" t="s">
        <v>58</v>
      </c>
      <c r="R25" s="135">
        <f t="shared" si="2"/>
        <v>0.62</v>
      </c>
    </row>
    <row r="26" spans="1:18" x14ac:dyDescent="0.2">
      <c r="A26" s="54">
        <v>244210</v>
      </c>
      <c r="B26" s="122" t="s">
        <v>821</v>
      </c>
      <c r="C26" s="136" t="s">
        <v>297</v>
      </c>
      <c r="D26" s="122"/>
      <c r="E26" s="47" t="s">
        <v>6</v>
      </c>
      <c r="F26" s="49" t="s">
        <v>531</v>
      </c>
      <c r="G26" s="47" t="s">
        <v>532</v>
      </c>
      <c r="H26" s="47"/>
      <c r="I26" s="148">
        <v>39.5</v>
      </c>
      <c r="J26" s="143">
        <v>2</v>
      </c>
      <c r="K26" s="144" t="s">
        <v>54</v>
      </c>
      <c r="L26" s="145">
        <v>19.75</v>
      </c>
      <c r="M26" s="132">
        <v>1</v>
      </c>
      <c r="N26" s="133" t="s">
        <v>54</v>
      </c>
      <c r="O26" s="133">
        <v>19.75</v>
      </c>
      <c r="P26" s="134">
        <v>1</v>
      </c>
      <c r="Q26" s="134" t="s">
        <v>54</v>
      </c>
      <c r="R26" s="135">
        <f t="shared" si="2"/>
        <v>19.75</v>
      </c>
    </row>
    <row r="27" spans="1:18" x14ac:dyDescent="0.2">
      <c r="A27" s="54">
        <v>244210</v>
      </c>
      <c r="B27" s="122" t="s">
        <v>821</v>
      </c>
      <c r="C27" s="136" t="s">
        <v>299</v>
      </c>
      <c r="D27" s="122"/>
      <c r="E27" s="47" t="s">
        <v>6</v>
      </c>
      <c r="F27" s="49" t="s">
        <v>533</v>
      </c>
      <c r="G27" s="47" t="s">
        <v>534</v>
      </c>
      <c r="H27" s="47"/>
      <c r="I27" s="148">
        <v>54</v>
      </c>
      <c r="J27" s="143">
        <v>3</v>
      </c>
      <c r="K27" s="144" t="s">
        <v>54</v>
      </c>
      <c r="L27" s="145">
        <v>18</v>
      </c>
      <c r="M27" s="132">
        <v>1</v>
      </c>
      <c r="N27" s="133" t="s">
        <v>54</v>
      </c>
      <c r="O27" s="133">
        <v>18</v>
      </c>
      <c r="P27" s="134">
        <v>1</v>
      </c>
      <c r="Q27" s="134" t="s">
        <v>54</v>
      </c>
      <c r="R27" s="135">
        <f t="shared" si="2"/>
        <v>18</v>
      </c>
    </row>
    <row r="28" spans="1:18" x14ac:dyDescent="0.2">
      <c r="A28" s="54">
        <v>244210</v>
      </c>
      <c r="B28" s="122" t="s">
        <v>821</v>
      </c>
      <c r="C28" s="136" t="s">
        <v>300</v>
      </c>
      <c r="D28" s="122" t="s">
        <v>653</v>
      </c>
      <c r="E28" s="47" t="s">
        <v>535</v>
      </c>
      <c r="F28" s="49" t="s">
        <v>536</v>
      </c>
      <c r="G28" s="47" t="s">
        <v>537</v>
      </c>
      <c r="H28" s="47"/>
      <c r="I28" s="148">
        <v>324</v>
      </c>
      <c r="J28" s="143">
        <v>20</v>
      </c>
      <c r="K28" s="144" t="s">
        <v>50</v>
      </c>
      <c r="L28" s="145">
        <v>162</v>
      </c>
      <c r="M28" s="132">
        <v>10</v>
      </c>
      <c r="N28" s="133" t="s">
        <v>50</v>
      </c>
      <c r="O28" s="133">
        <v>162</v>
      </c>
      <c r="P28" s="134">
        <v>1</v>
      </c>
      <c r="Q28" s="134" t="s">
        <v>50</v>
      </c>
      <c r="R28" s="135">
        <f t="shared" si="2"/>
        <v>16.2</v>
      </c>
    </row>
    <row r="29" spans="1:18" ht="16.5" x14ac:dyDescent="0.35">
      <c r="A29" s="54">
        <v>244210</v>
      </c>
      <c r="B29" s="122" t="s">
        <v>821</v>
      </c>
      <c r="C29" s="136" t="s">
        <v>302</v>
      </c>
      <c r="D29" s="122"/>
      <c r="E29" s="60" t="s">
        <v>70</v>
      </c>
      <c r="F29" s="49" t="s">
        <v>538</v>
      </c>
      <c r="G29" s="47" t="s">
        <v>539</v>
      </c>
      <c r="H29" s="47"/>
      <c r="I29" s="149">
        <v>70</v>
      </c>
      <c r="J29" s="143">
        <v>10</v>
      </c>
      <c r="K29" s="144" t="s">
        <v>57</v>
      </c>
      <c r="L29" s="145">
        <v>7</v>
      </c>
      <c r="M29" s="132">
        <v>10</v>
      </c>
      <c r="N29" s="133" t="s">
        <v>58</v>
      </c>
      <c r="O29" s="133">
        <v>7</v>
      </c>
      <c r="P29" s="134">
        <v>1</v>
      </c>
      <c r="Q29" s="134" t="s">
        <v>58</v>
      </c>
      <c r="R29" s="135">
        <f t="shared" si="2"/>
        <v>0.7</v>
      </c>
    </row>
    <row r="30" spans="1:18" ht="16.5" x14ac:dyDescent="0.35">
      <c r="A30" s="54">
        <v>244210</v>
      </c>
      <c r="B30" s="122" t="s">
        <v>821</v>
      </c>
      <c r="C30" s="136" t="s">
        <v>795</v>
      </c>
      <c r="D30" s="122"/>
      <c r="E30" s="60" t="s">
        <v>70</v>
      </c>
      <c r="F30" s="49" t="s">
        <v>540</v>
      </c>
      <c r="G30" s="47" t="s">
        <v>539</v>
      </c>
      <c r="H30" s="47"/>
      <c r="I30" s="149">
        <v>50</v>
      </c>
      <c r="J30" s="143">
        <v>10</v>
      </c>
      <c r="K30" s="144" t="s">
        <v>57</v>
      </c>
      <c r="L30" s="145">
        <v>5</v>
      </c>
      <c r="M30" s="132">
        <v>10</v>
      </c>
      <c r="N30" s="133" t="s">
        <v>58</v>
      </c>
      <c r="O30" s="133">
        <v>5</v>
      </c>
      <c r="P30" s="134">
        <v>1</v>
      </c>
      <c r="Q30" s="134" t="s">
        <v>58</v>
      </c>
      <c r="R30" s="135">
        <f t="shared" si="2"/>
        <v>0.5</v>
      </c>
    </row>
    <row r="31" spans="1:18" x14ac:dyDescent="0.2">
      <c r="A31" s="54">
        <v>244210</v>
      </c>
      <c r="B31" s="122" t="s">
        <v>821</v>
      </c>
      <c r="C31" s="136" t="s">
        <v>305</v>
      </c>
      <c r="D31" s="122"/>
      <c r="E31" s="47" t="s">
        <v>541</v>
      </c>
      <c r="F31" s="49" t="s">
        <v>542</v>
      </c>
      <c r="G31" s="47" t="s">
        <v>606</v>
      </c>
      <c r="H31" s="47"/>
      <c r="I31" s="149">
        <v>41.25</v>
      </c>
      <c r="J31" s="143">
        <v>3</v>
      </c>
      <c r="K31" s="144" t="s">
        <v>54</v>
      </c>
      <c r="L31" s="145">
        <v>13.75</v>
      </c>
      <c r="M31" s="132">
        <v>1</v>
      </c>
      <c r="N31" s="133" t="s">
        <v>54</v>
      </c>
      <c r="O31" s="133">
        <v>13.75</v>
      </c>
      <c r="P31" s="134">
        <v>1</v>
      </c>
      <c r="Q31" s="134" t="s">
        <v>54</v>
      </c>
      <c r="R31" s="135">
        <f t="shared" si="2"/>
        <v>13.75</v>
      </c>
    </row>
    <row r="32" spans="1:18" ht="17.25" customHeight="1" x14ac:dyDescent="0.2">
      <c r="A32" s="137">
        <v>244210</v>
      </c>
      <c r="B32" s="122" t="s">
        <v>821</v>
      </c>
      <c r="C32" s="138" t="s">
        <v>306</v>
      </c>
      <c r="D32" s="122"/>
      <c r="E32" s="65" t="s">
        <v>655</v>
      </c>
      <c r="F32" s="98" t="s">
        <v>543</v>
      </c>
      <c r="G32" s="65" t="s">
        <v>53</v>
      </c>
      <c r="H32" s="59" t="s">
        <v>656</v>
      </c>
      <c r="I32" s="150">
        <v>158.75</v>
      </c>
      <c r="J32" s="147">
        <v>5</v>
      </c>
      <c r="K32" s="144" t="s">
        <v>54</v>
      </c>
      <c r="L32" s="144">
        <v>31.75</v>
      </c>
      <c r="M32" s="133">
        <v>1</v>
      </c>
      <c r="N32" s="133" t="s">
        <v>54</v>
      </c>
      <c r="O32" s="133">
        <v>31.75</v>
      </c>
      <c r="P32" s="134">
        <v>1</v>
      </c>
      <c r="Q32" s="134" t="s">
        <v>54</v>
      </c>
      <c r="R32" s="135">
        <f t="shared" si="2"/>
        <v>31.75</v>
      </c>
    </row>
    <row r="33" spans="1:18" x14ac:dyDescent="0.2">
      <c r="A33" s="54">
        <v>244210</v>
      </c>
      <c r="B33" s="122" t="s">
        <v>821</v>
      </c>
      <c r="C33" s="136" t="s">
        <v>308</v>
      </c>
      <c r="D33" s="122"/>
      <c r="E33" s="47" t="s">
        <v>3</v>
      </c>
      <c r="F33" s="49" t="s">
        <v>544</v>
      </c>
      <c r="G33" s="47" t="s">
        <v>545</v>
      </c>
      <c r="H33" s="47"/>
      <c r="I33" s="149">
        <v>63</v>
      </c>
      <c r="J33" s="143">
        <v>4</v>
      </c>
      <c r="K33" s="144" t="s">
        <v>54</v>
      </c>
      <c r="L33" s="145">
        <v>15.75</v>
      </c>
      <c r="M33" s="132">
        <v>1</v>
      </c>
      <c r="N33" s="133" t="s">
        <v>54</v>
      </c>
      <c r="O33" s="133">
        <v>15.75</v>
      </c>
      <c r="P33" s="134">
        <v>1</v>
      </c>
      <c r="Q33" s="134" t="s">
        <v>54</v>
      </c>
      <c r="R33" s="135">
        <f t="shared" si="2"/>
        <v>15.75</v>
      </c>
    </row>
    <row r="34" spans="1:18" x14ac:dyDescent="0.2">
      <c r="A34" s="54">
        <v>244210</v>
      </c>
      <c r="B34" s="122" t="s">
        <v>821</v>
      </c>
      <c r="C34" s="136" t="s">
        <v>310</v>
      </c>
      <c r="D34" s="122"/>
      <c r="E34" s="47" t="s">
        <v>546</v>
      </c>
      <c r="F34" s="49" t="s">
        <v>547</v>
      </c>
      <c r="G34" s="47" t="s">
        <v>548</v>
      </c>
      <c r="H34" s="47"/>
      <c r="I34" s="149">
        <v>54</v>
      </c>
      <c r="J34" s="143">
        <v>3</v>
      </c>
      <c r="K34" s="144" t="s">
        <v>54</v>
      </c>
      <c r="L34" s="145">
        <v>18</v>
      </c>
      <c r="M34" s="132">
        <v>1</v>
      </c>
      <c r="N34" s="133" t="s">
        <v>54</v>
      </c>
      <c r="O34" s="133">
        <v>18</v>
      </c>
      <c r="P34" s="134">
        <v>1</v>
      </c>
      <c r="Q34" s="134" t="s">
        <v>54</v>
      </c>
      <c r="R34" s="135">
        <f t="shared" si="2"/>
        <v>18</v>
      </c>
    </row>
    <row r="35" spans="1:18" x14ac:dyDescent="0.2">
      <c r="A35" s="54">
        <v>244210</v>
      </c>
      <c r="B35" s="122" t="s">
        <v>821</v>
      </c>
      <c r="C35" s="136" t="s">
        <v>311</v>
      </c>
      <c r="D35" s="122"/>
      <c r="E35" s="47" t="s">
        <v>549</v>
      </c>
      <c r="F35" s="49" t="s">
        <v>528</v>
      </c>
      <c r="G35" s="47" t="s">
        <v>550</v>
      </c>
      <c r="H35" s="47" t="s">
        <v>551</v>
      </c>
      <c r="I35" s="149">
        <v>380</v>
      </c>
      <c r="J35" s="143">
        <v>1</v>
      </c>
      <c r="K35" s="144" t="s">
        <v>50</v>
      </c>
      <c r="L35" s="145">
        <v>380</v>
      </c>
      <c r="M35" s="132">
        <v>100</v>
      </c>
      <c r="N35" s="133" t="s">
        <v>58</v>
      </c>
      <c r="O35" s="133">
        <v>380</v>
      </c>
      <c r="P35" s="134">
        <v>1</v>
      </c>
      <c r="Q35" s="134" t="s">
        <v>58</v>
      </c>
      <c r="R35" s="135">
        <f t="shared" si="2"/>
        <v>3.8</v>
      </c>
    </row>
    <row r="36" spans="1:18" x14ac:dyDescent="0.2">
      <c r="A36" s="54">
        <v>244210</v>
      </c>
      <c r="B36" s="122" t="s">
        <v>821</v>
      </c>
      <c r="C36" s="136" t="s">
        <v>313</v>
      </c>
      <c r="D36" s="122"/>
      <c r="E36" s="47" t="s">
        <v>552</v>
      </c>
      <c r="F36" s="49" t="s">
        <v>553</v>
      </c>
      <c r="G36" s="47" t="s">
        <v>554</v>
      </c>
      <c r="H36" s="47" t="s">
        <v>555</v>
      </c>
      <c r="I36" s="149">
        <v>291</v>
      </c>
      <c r="J36" s="143">
        <v>3</v>
      </c>
      <c r="K36" s="144" t="s">
        <v>50</v>
      </c>
      <c r="L36" s="144">
        <v>97</v>
      </c>
      <c r="M36" s="132">
        <v>25</v>
      </c>
      <c r="N36" s="133" t="s">
        <v>58</v>
      </c>
      <c r="O36" s="133">
        <v>97</v>
      </c>
      <c r="P36" s="134">
        <v>1</v>
      </c>
      <c r="Q36" s="134" t="s">
        <v>58</v>
      </c>
      <c r="R36" s="135">
        <f t="shared" si="2"/>
        <v>3.88</v>
      </c>
    </row>
    <row r="37" spans="1:18" x14ac:dyDescent="0.2">
      <c r="A37" s="54">
        <v>244210</v>
      </c>
      <c r="B37" s="122" t="s">
        <v>821</v>
      </c>
      <c r="C37" s="136" t="s">
        <v>314</v>
      </c>
      <c r="D37" s="122">
        <v>7</v>
      </c>
      <c r="E37" s="47" t="s">
        <v>556</v>
      </c>
      <c r="F37" s="49" t="s">
        <v>557</v>
      </c>
      <c r="G37" s="47" t="s">
        <v>558</v>
      </c>
      <c r="H37" s="47"/>
      <c r="I37" s="149">
        <v>104</v>
      </c>
      <c r="J37" s="143">
        <v>2</v>
      </c>
      <c r="K37" s="144" t="s">
        <v>54</v>
      </c>
      <c r="L37" s="145">
        <v>52</v>
      </c>
      <c r="M37" s="132">
        <v>1</v>
      </c>
      <c r="N37" s="133" t="s">
        <v>54</v>
      </c>
      <c r="O37" s="133">
        <v>52</v>
      </c>
      <c r="P37" s="134">
        <v>1</v>
      </c>
      <c r="Q37" s="134" t="s">
        <v>54</v>
      </c>
      <c r="R37" s="135">
        <f t="shared" si="2"/>
        <v>52</v>
      </c>
    </row>
    <row r="38" spans="1:18" x14ac:dyDescent="0.2">
      <c r="A38" s="54">
        <v>244210</v>
      </c>
      <c r="B38" s="122" t="s">
        <v>821</v>
      </c>
      <c r="C38" s="136" t="s">
        <v>315</v>
      </c>
      <c r="D38" s="122"/>
      <c r="E38" s="47" t="s">
        <v>559</v>
      </c>
      <c r="F38" s="49" t="s">
        <v>560</v>
      </c>
      <c r="G38" s="47" t="s">
        <v>561</v>
      </c>
      <c r="H38" s="47"/>
      <c r="I38" s="149">
        <v>122</v>
      </c>
      <c r="J38" s="143">
        <v>1</v>
      </c>
      <c r="K38" s="144" t="s">
        <v>86</v>
      </c>
      <c r="L38" s="145">
        <v>122</v>
      </c>
      <c r="M38" s="132">
        <v>1000</v>
      </c>
      <c r="N38" s="133" t="s">
        <v>58</v>
      </c>
      <c r="O38" s="133">
        <v>122</v>
      </c>
      <c r="P38" s="134">
        <v>1</v>
      </c>
      <c r="Q38" s="134" t="s">
        <v>58</v>
      </c>
      <c r="R38" s="135">
        <f t="shared" si="2"/>
        <v>0.122</v>
      </c>
    </row>
    <row r="39" spans="1:18" x14ac:dyDescent="0.2">
      <c r="A39" s="54">
        <v>244210</v>
      </c>
      <c r="B39" s="122" t="s">
        <v>821</v>
      </c>
      <c r="C39" s="136" t="s">
        <v>317</v>
      </c>
      <c r="D39" s="122">
        <v>11</v>
      </c>
      <c r="E39" s="47" t="s">
        <v>562</v>
      </c>
      <c r="F39" s="49" t="s">
        <v>563</v>
      </c>
      <c r="G39" s="47" t="s">
        <v>562</v>
      </c>
      <c r="H39" s="47"/>
      <c r="I39" s="149">
        <v>50</v>
      </c>
      <c r="J39" s="143">
        <v>20</v>
      </c>
      <c r="K39" s="144" t="s">
        <v>57</v>
      </c>
      <c r="L39" s="145">
        <v>2.5</v>
      </c>
      <c r="M39" s="132">
        <v>10</v>
      </c>
      <c r="N39" s="133" t="s">
        <v>58</v>
      </c>
      <c r="O39" s="133">
        <v>2.5</v>
      </c>
      <c r="P39" s="134">
        <v>1</v>
      </c>
      <c r="Q39" s="134" t="s">
        <v>58</v>
      </c>
      <c r="R39" s="135">
        <f t="shared" si="2"/>
        <v>0.25</v>
      </c>
    </row>
    <row r="40" spans="1:18" x14ac:dyDescent="0.2">
      <c r="A40" s="54">
        <v>244210</v>
      </c>
      <c r="B40" s="122" t="s">
        <v>821</v>
      </c>
      <c r="C40" s="136" t="s">
        <v>319</v>
      </c>
      <c r="D40" s="122"/>
      <c r="E40" s="47" t="s">
        <v>564</v>
      </c>
      <c r="F40" s="48" t="s">
        <v>565</v>
      </c>
      <c r="G40" s="47" t="s">
        <v>566</v>
      </c>
      <c r="H40" s="47" t="s">
        <v>240</v>
      </c>
      <c r="I40" s="151">
        <v>200</v>
      </c>
      <c r="J40" s="143">
        <v>1</v>
      </c>
      <c r="K40" s="144" t="s">
        <v>50</v>
      </c>
      <c r="L40" s="145">
        <v>200</v>
      </c>
      <c r="M40" s="132">
        <v>100</v>
      </c>
      <c r="N40" s="133" t="s">
        <v>58</v>
      </c>
      <c r="O40" s="133">
        <v>200</v>
      </c>
      <c r="P40" s="134">
        <v>1</v>
      </c>
      <c r="Q40" s="134" t="s">
        <v>58</v>
      </c>
      <c r="R40" s="135">
        <f t="shared" si="2"/>
        <v>2</v>
      </c>
    </row>
    <row r="41" spans="1:18" x14ac:dyDescent="0.2">
      <c r="A41" s="54">
        <v>244210</v>
      </c>
      <c r="B41" s="122" t="s">
        <v>821</v>
      </c>
      <c r="C41" s="136" t="s">
        <v>321</v>
      </c>
      <c r="D41" s="122"/>
      <c r="E41" s="47" t="s">
        <v>567</v>
      </c>
      <c r="F41" s="48" t="s">
        <v>568</v>
      </c>
      <c r="G41" s="47" t="s">
        <v>567</v>
      </c>
      <c r="H41" s="47"/>
      <c r="I41" s="151">
        <v>440</v>
      </c>
      <c r="J41" s="143">
        <v>10</v>
      </c>
      <c r="K41" s="144" t="s">
        <v>50</v>
      </c>
      <c r="L41" s="145">
        <v>44</v>
      </c>
      <c r="M41" s="132">
        <v>1</v>
      </c>
      <c r="N41" s="133" t="s">
        <v>50</v>
      </c>
      <c r="O41" s="133">
        <v>44</v>
      </c>
      <c r="P41" s="134">
        <v>1</v>
      </c>
      <c r="Q41" s="134" t="s">
        <v>50</v>
      </c>
      <c r="R41" s="135">
        <f t="shared" ref="R41:R93" si="3">O41/M41</f>
        <v>44</v>
      </c>
    </row>
    <row r="42" spans="1:18" x14ac:dyDescent="0.2">
      <c r="A42" s="54">
        <v>244210</v>
      </c>
      <c r="B42" s="122" t="s">
        <v>821</v>
      </c>
      <c r="C42" s="136" t="s">
        <v>323</v>
      </c>
      <c r="D42" s="122">
        <v>4</v>
      </c>
      <c r="E42" s="47" t="s">
        <v>569</v>
      </c>
      <c r="F42" s="48" t="s">
        <v>570</v>
      </c>
      <c r="G42" s="47" t="s">
        <v>571</v>
      </c>
      <c r="H42" s="47"/>
      <c r="I42" s="151">
        <v>375</v>
      </c>
      <c r="J42" s="143">
        <v>1</v>
      </c>
      <c r="K42" s="144" t="s">
        <v>50</v>
      </c>
      <c r="L42" s="145">
        <v>3758</v>
      </c>
      <c r="M42" s="132">
        <v>10</v>
      </c>
      <c r="N42" s="133" t="s">
        <v>58</v>
      </c>
      <c r="O42" s="133">
        <v>37.5</v>
      </c>
      <c r="P42" s="134">
        <v>1</v>
      </c>
      <c r="Q42" s="134" t="s">
        <v>58</v>
      </c>
      <c r="R42" s="135">
        <f t="shared" si="3"/>
        <v>3.75</v>
      </c>
    </row>
    <row r="43" spans="1:18" x14ac:dyDescent="0.2">
      <c r="A43" s="54">
        <v>244210</v>
      </c>
      <c r="B43" s="122" t="s">
        <v>821</v>
      </c>
      <c r="C43" s="136" t="s">
        <v>324</v>
      </c>
      <c r="D43" s="122"/>
      <c r="E43" s="47" t="s">
        <v>572</v>
      </c>
      <c r="F43" s="48" t="s">
        <v>573</v>
      </c>
      <c r="G43" s="47" t="s">
        <v>574</v>
      </c>
      <c r="H43" s="47"/>
      <c r="I43" s="151">
        <v>386.25</v>
      </c>
      <c r="J43" s="143">
        <v>3</v>
      </c>
      <c r="K43" s="144" t="s">
        <v>54</v>
      </c>
      <c r="L43" s="145">
        <v>128.75</v>
      </c>
      <c r="M43" s="132">
        <v>1</v>
      </c>
      <c r="N43" s="133" t="s">
        <v>54</v>
      </c>
      <c r="O43" s="133">
        <v>128.75</v>
      </c>
      <c r="P43" s="134">
        <v>1</v>
      </c>
      <c r="Q43" s="134" t="s">
        <v>54</v>
      </c>
      <c r="R43" s="135">
        <f t="shared" si="3"/>
        <v>128.75</v>
      </c>
    </row>
    <row r="44" spans="1:18" x14ac:dyDescent="0.2">
      <c r="A44" s="54">
        <v>244210</v>
      </c>
      <c r="B44" s="122" t="s">
        <v>821</v>
      </c>
      <c r="C44" s="136" t="s">
        <v>325</v>
      </c>
      <c r="D44" s="122"/>
      <c r="E44" s="47" t="s">
        <v>575</v>
      </c>
      <c r="F44" s="48" t="s">
        <v>576</v>
      </c>
      <c r="G44" s="47" t="s">
        <v>577</v>
      </c>
      <c r="H44" s="47"/>
      <c r="I44" s="151">
        <v>183</v>
      </c>
      <c r="J44" s="143">
        <v>1</v>
      </c>
      <c r="K44" s="144" t="s">
        <v>50</v>
      </c>
      <c r="L44" s="145">
        <v>183</v>
      </c>
      <c r="M44" s="132">
        <v>100</v>
      </c>
      <c r="N44" s="133" t="s">
        <v>58</v>
      </c>
      <c r="O44" s="133">
        <v>183</v>
      </c>
      <c r="P44" s="134">
        <v>1</v>
      </c>
      <c r="Q44" s="134" t="s">
        <v>58</v>
      </c>
      <c r="R44" s="135">
        <f t="shared" si="3"/>
        <v>1.83</v>
      </c>
    </row>
    <row r="45" spans="1:18" x14ac:dyDescent="0.2">
      <c r="A45" s="54">
        <v>244210</v>
      </c>
      <c r="B45" s="122" t="s">
        <v>821</v>
      </c>
      <c r="C45" s="136" t="s">
        <v>326</v>
      </c>
      <c r="D45" s="122"/>
      <c r="E45" s="47" t="s">
        <v>521</v>
      </c>
      <c r="F45" s="48"/>
      <c r="G45" s="47" t="s">
        <v>578</v>
      </c>
      <c r="H45" s="47"/>
      <c r="I45" s="151">
        <v>265</v>
      </c>
      <c r="J45" s="143">
        <v>1</v>
      </c>
      <c r="K45" s="145" t="s">
        <v>50</v>
      </c>
      <c r="L45" s="145">
        <v>265</v>
      </c>
      <c r="M45" s="132">
        <v>500</v>
      </c>
      <c r="N45" s="133" t="s">
        <v>58</v>
      </c>
      <c r="O45" s="133">
        <v>265</v>
      </c>
      <c r="P45" s="134">
        <v>1</v>
      </c>
      <c r="Q45" s="134" t="s">
        <v>58</v>
      </c>
      <c r="R45" s="135">
        <f t="shared" si="3"/>
        <v>0.53</v>
      </c>
    </row>
    <row r="46" spans="1:18" x14ac:dyDescent="0.2">
      <c r="A46" s="54">
        <v>244210</v>
      </c>
      <c r="B46" s="122" t="s">
        <v>821</v>
      </c>
      <c r="C46" s="136" t="s">
        <v>327</v>
      </c>
      <c r="D46" s="122"/>
      <c r="E46" s="47" t="s">
        <v>579</v>
      </c>
      <c r="F46" s="48" t="s">
        <v>580</v>
      </c>
      <c r="G46" s="47" t="s">
        <v>581</v>
      </c>
      <c r="H46" s="47"/>
      <c r="I46" s="151">
        <v>322.5</v>
      </c>
      <c r="J46" s="143">
        <v>10</v>
      </c>
      <c r="K46" s="145" t="s">
        <v>50</v>
      </c>
      <c r="L46" s="145">
        <v>32.25</v>
      </c>
      <c r="M46" s="132">
        <v>20</v>
      </c>
      <c r="N46" s="133" t="s">
        <v>58</v>
      </c>
      <c r="O46" s="133">
        <v>32.25</v>
      </c>
      <c r="P46" s="134">
        <v>1</v>
      </c>
      <c r="Q46" s="134" t="s">
        <v>58</v>
      </c>
      <c r="R46" s="135">
        <f t="shared" si="3"/>
        <v>1.6125</v>
      </c>
    </row>
    <row r="47" spans="1:18" x14ac:dyDescent="0.2">
      <c r="A47" s="127">
        <v>244221</v>
      </c>
      <c r="B47" s="122" t="s">
        <v>821</v>
      </c>
      <c r="C47" s="136" t="s">
        <v>330</v>
      </c>
      <c r="D47" s="122"/>
      <c r="E47" s="128"/>
      <c r="F47" s="122"/>
      <c r="G47" s="128"/>
      <c r="H47" s="128"/>
      <c r="I47" s="158">
        <v>230</v>
      </c>
      <c r="J47" s="130">
        <v>1</v>
      </c>
      <c r="K47" s="130" t="s">
        <v>50</v>
      </c>
      <c r="L47" s="145">
        <v>230</v>
      </c>
      <c r="M47" s="132">
        <v>10</v>
      </c>
      <c r="N47" s="133" t="s">
        <v>158</v>
      </c>
      <c r="O47" s="133">
        <v>230</v>
      </c>
      <c r="P47" s="134">
        <v>1</v>
      </c>
      <c r="Q47" s="134" t="s">
        <v>158</v>
      </c>
      <c r="R47" s="135">
        <f t="shared" si="3"/>
        <v>23</v>
      </c>
    </row>
    <row r="48" spans="1:18" x14ac:dyDescent="0.2">
      <c r="A48" s="127">
        <v>244221</v>
      </c>
      <c r="B48" s="122" t="s">
        <v>821</v>
      </c>
      <c r="C48" s="136" t="s">
        <v>331</v>
      </c>
      <c r="D48" s="122"/>
      <c r="E48" s="128" t="s">
        <v>582</v>
      </c>
      <c r="F48" s="122" t="s">
        <v>565</v>
      </c>
      <c r="G48" s="128" t="s">
        <v>583</v>
      </c>
      <c r="H48" s="128"/>
      <c r="I48" s="158">
        <v>15.5</v>
      </c>
      <c r="J48" s="130">
        <v>1</v>
      </c>
      <c r="K48" s="130" t="s">
        <v>50</v>
      </c>
      <c r="L48" s="145">
        <v>15.5</v>
      </c>
      <c r="M48" s="132">
        <v>6</v>
      </c>
      <c r="N48" s="133" t="s">
        <v>58</v>
      </c>
      <c r="O48" s="133">
        <v>15.5</v>
      </c>
      <c r="P48" s="134">
        <v>1</v>
      </c>
      <c r="Q48" s="134" t="s">
        <v>58</v>
      </c>
      <c r="R48" s="135">
        <f t="shared" si="3"/>
        <v>2.5833333333333335</v>
      </c>
    </row>
    <row r="49" spans="1:18" x14ac:dyDescent="0.2">
      <c r="A49" s="127">
        <v>244221</v>
      </c>
      <c r="B49" s="122" t="s">
        <v>821</v>
      </c>
      <c r="C49" s="136" t="s">
        <v>332</v>
      </c>
      <c r="D49" s="122"/>
      <c r="E49" s="128" t="s">
        <v>584</v>
      </c>
      <c r="F49" s="122" t="s">
        <v>585</v>
      </c>
      <c r="G49" s="128" t="s">
        <v>586</v>
      </c>
      <c r="H49" s="128"/>
      <c r="I49" s="158">
        <v>78</v>
      </c>
      <c r="J49" s="130">
        <v>3</v>
      </c>
      <c r="K49" s="130" t="s">
        <v>54</v>
      </c>
      <c r="L49" s="145">
        <v>26</v>
      </c>
      <c r="M49" s="132">
        <v>1</v>
      </c>
      <c r="N49" s="133" t="s">
        <v>54</v>
      </c>
      <c r="O49" s="133">
        <v>26</v>
      </c>
      <c r="P49" s="134">
        <v>1</v>
      </c>
      <c r="Q49" s="134" t="s">
        <v>54</v>
      </c>
      <c r="R49" s="135">
        <f t="shared" si="3"/>
        <v>26</v>
      </c>
    </row>
    <row r="50" spans="1:18" x14ac:dyDescent="0.2">
      <c r="A50" s="127">
        <v>244221</v>
      </c>
      <c r="B50" s="122" t="s">
        <v>821</v>
      </c>
      <c r="C50" s="136" t="s">
        <v>333</v>
      </c>
      <c r="D50" s="122"/>
      <c r="E50" s="128" t="s">
        <v>587</v>
      </c>
      <c r="F50" s="122">
        <v>50</v>
      </c>
      <c r="G50" s="128" t="s">
        <v>587</v>
      </c>
      <c r="H50" s="128"/>
      <c r="I50" s="158">
        <v>24</v>
      </c>
      <c r="J50" s="130">
        <v>3</v>
      </c>
      <c r="K50" s="130" t="s">
        <v>57</v>
      </c>
      <c r="L50" s="145">
        <v>8</v>
      </c>
      <c r="M50" s="132">
        <v>10</v>
      </c>
      <c r="N50" s="133" t="s">
        <v>58</v>
      </c>
      <c r="O50" s="133">
        <v>8</v>
      </c>
      <c r="P50" s="134">
        <v>1</v>
      </c>
      <c r="Q50" s="134" t="s">
        <v>58</v>
      </c>
      <c r="R50" s="135">
        <f t="shared" si="3"/>
        <v>0.8</v>
      </c>
    </row>
    <row r="51" spans="1:18" x14ac:dyDescent="0.2">
      <c r="A51" s="127">
        <v>244221</v>
      </c>
      <c r="B51" s="122" t="s">
        <v>821</v>
      </c>
      <c r="C51" s="136" t="s">
        <v>335</v>
      </c>
      <c r="D51" s="122"/>
      <c r="E51" s="128" t="s">
        <v>588</v>
      </c>
      <c r="F51" s="122" t="s">
        <v>585</v>
      </c>
      <c r="G51" s="128" t="s">
        <v>589</v>
      </c>
      <c r="H51" s="128"/>
      <c r="I51" s="158">
        <v>72</v>
      </c>
      <c r="J51" s="130">
        <v>3</v>
      </c>
      <c r="K51" s="130" t="s">
        <v>54</v>
      </c>
      <c r="L51" s="145">
        <v>24</v>
      </c>
      <c r="M51" s="132">
        <v>1</v>
      </c>
      <c r="N51" s="133" t="s">
        <v>54</v>
      </c>
      <c r="O51" s="133">
        <v>24</v>
      </c>
      <c r="P51" s="134">
        <v>1</v>
      </c>
      <c r="Q51" s="134" t="s">
        <v>54</v>
      </c>
      <c r="R51" s="135">
        <f t="shared" si="3"/>
        <v>24</v>
      </c>
    </row>
    <row r="52" spans="1:18" x14ac:dyDescent="0.2">
      <c r="A52" s="127">
        <v>244221</v>
      </c>
      <c r="B52" s="122" t="s">
        <v>821</v>
      </c>
      <c r="C52" s="136" t="s">
        <v>336</v>
      </c>
      <c r="D52" s="122">
        <v>2</v>
      </c>
      <c r="E52" s="128" t="s">
        <v>525</v>
      </c>
      <c r="F52" s="122" t="s">
        <v>590</v>
      </c>
      <c r="G52" s="128" t="s">
        <v>591</v>
      </c>
      <c r="H52" s="128"/>
      <c r="I52" s="158">
        <v>78</v>
      </c>
      <c r="J52" s="130">
        <v>2</v>
      </c>
      <c r="K52" s="130" t="s">
        <v>50</v>
      </c>
      <c r="L52" s="145">
        <v>39</v>
      </c>
      <c r="M52" s="132">
        <v>30</v>
      </c>
      <c r="N52" s="133" t="s">
        <v>58</v>
      </c>
      <c r="O52" s="133">
        <v>39</v>
      </c>
      <c r="P52" s="134">
        <v>1</v>
      </c>
      <c r="Q52" s="134" t="s">
        <v>58</v>
      </c>
      <c r="R52" s="135">
        <f t="shared" si="3"/>
        <v>1.3</v>
      </c>
    </row>
    <row r="53" spans="1:18" x14ac:dyDescent="0.2">
      <c r="A53" s="127">
        <v>244221</v>
      </c>
      <c r="B53" s="122" t="s">
        <v>821</v>
      </c>
      <c r="C53" s="136" t="s">
        <v>338</v>
      </c>
      <c r="D53" s="122"/>
      <c r="E53" s="128" t="s">
        <v>592</v>
      </c>
      <c r="F53" s="122" t="s">
        <v>593</v>
      </c>
      <c r="G53" s="128" t="s">
        <v>594</v>
      </c>
      <c r="H53" s="128" t="s">
        <v>595</v>
      </c>
      <c r="I53" s="159">
        <v>61</v>
      </c>
      <c r="J53" s="130">
        <v>1</v>
      </c>
      <c r="K53" s="130" t="s">
        <v>57</v>
      </c>
      <c r="L53" s="145">
        <v>61</v>
      </c>
      <c r="M53" s="132">
        <v>10</v>
      </c>
      <c r="N53" s="133" t="s">
        <v>58</v>
      </c>
      <c r="O53" s="133">
        <v>61</v>
      </c>
      <c r="P53" s="134">
        <v>1</v>
      </c>
      <c r="Q53" s="134" t="s">
        <v>58</v>
      </c>
      <c r="R53" s="135">
        <f t="shared" si="3"/>
        <v>6.1</v>
      </c>
    </row>
    <row r="54" spans="1:18" ht="16.5" x14ac:dyDescent="0.2">
      <c r="A54" s="54">
        <v>244232</v>
      </c>
      <c r="B54" s="122" t="s">
        <v>821</v>
      </c>
      <c r="C54" s="136" t="s">
        <v>340</v>
      </c>
      <c r="D54" s="48"/>
      <c r="E54" s="41" t="s">
        <v>143</v>
      </c>
      <c r="F54" s="48" t="s">
        <v>596</v>
      </c>
      <c r="G54" s="47" t="s">
        <v>597</v>
      </c>
      <c r="H54" s="47"/>
      <c r="I54" s="151">
        <v>595</v>
      </c>
      <c r="J54" s="130">
        <v>1</v>
      </c>
      <c r="K54" s="130" t="s">
        <v>50</v>
      </c>
      <c r="L54" s="130">
        <v>595</v>
      </c>
      <c r="M54" s="132">
        <v>500</v>
      </c>
      <c r="N54" s="133" t="s">
        <v>58</v>
      </c>
      <c r="O54" s="133">
        <v>595</v>
      </c>
      <c r="P54" s="134">
        <v>1</v>
      </c>
      <c r="Q54" s="134" t="s">
        <v>58</v>
      </c>
      <c r="R54" s="135">
        <f t="shared" si="3"/>
        <v>1.19</v>
      </c>
    </row>
    <row r="55" spans="1:18" x14ac:dyDescent="0.2">
      <c r="A55" s="54">
        <v>244232</v>
      </c>
      <c r="B55" s="122" t="s">
        <v>821</v>
      </c>
      <c r="C55" s="136" t="s">
        <v>341</v>
      </c>
      <c r="D55" s="48"/>
      <c r="E55" s="47" t="s">
        <v>521</v>
      </c>
      <c r="F55" s="48" t="s">
        <v>544</v>
      </c>
      <c r="G55" s="47" t="s">
        <v>598</v>
      </c>
      <c r="H55" s="47" t="s">
        <v>599</v>
      </c>
      <c r="I55" s="151">
        <v>126.25</v>
      </c>
      <c r="J55" s="130">
        <v>5</v>
      </c>
      <c r="K55" s="130" t="s">
        <v>54</v>
      </c>
      <c r="L55" s="130">
        <v>25.25</v>
      </c>
      <c r="M55" s="132">
        <v>1</v>
      </c>
      <c r="N55" s="133" t="s">
        <v>54</v>
      </c>
      <c r="O55" s="133">
        <v>25.25</v>
      </c>
      <c r="P55" s="134">
        <v>1</v>
      </c>
      <c r="Q55" s="134" t="s">
        <v>54</v>
      </c>
      <c r="R55" s="135">
        <f t="shared" si="3"/>
        <v>25.25</v>
      </c>
    </row>
    <row r="56" spans="1:18" x14ac:dyDescent="0.2">
      <c r="A56" s="54">
        <v>244232</v>
      </c>
      <c r="B56" s="122" t="s">
        <v>821</v>
      </c>
      <c r="C56" s="136" t="s">
        <v>342</v>
      </c>
      <c r="D56" s="48"/>
      <c r="E56" s="47" t="s">
        <v>940</v>
      </c>
      <c r="F56" s="48" t="s">
        <v>600</v>
      </c>
      <c r="G56" s="47" t="s">
        <v>601</v>
      </c>
      <c r="H56" s="47" t="s">
        <v>602</v>
      </c>
      <c r="I56" s="151">
        <v>110</v>
      </c>
      <c r="J56" s="130">
        <v>10</v>
      </c>
      <c r="K56" s="130" t="s">
        <v>57</v>
      </c>
      <c r="L56" s="130">
        <v>11</v>
      </c>
      <c r="M56" s="132">
        <v>10</v>
      </c>
      <c r="N56" s="133" t="s">
        <v>58</v>
      </c>
      <c r="O56" s="133">
        <v>11</v>
      </c>
      <c r="P56" s="134">
        <v>1</v>
      </c>
      <c r="Q56" s="134" t="s">
        <v>58</v>
      </c>
      <c r="R56" s="135">
        <f t="shared" si="3"/>
        <v>1.1000000000000001</v>
      </c>
    </row>
    <row r="57" spans="1:18" x14ac:dyDescent="0.2">
      <c r="A57" s="54">
        <v>244232</v>
      </c>
      <c r="B57" s="122" t="s">
        <v>821</v>
      </c>
      <c r="C57" s="136" t="s">
        <v>343</v>
      </c>
      <c r="D57" s="48"/>
      <c r="E57" s="47" t="s">
        <v>603</v>
      </c>
      <c r="F57" s="48" t="s">
        <v>544</v>
      </c>
      <c r="G57" s="47" t="s">
        <v>604</v>
      </c>
      <c r="H57" s="47" t="s">
        <v>605</v>
      </c>
      <c r="I57" s="151">
        <v>75</v>
      </c>
      <c r="J57" s="130">
        <v>5</v>
      </c>
      <c r="K57" s="130" t="s">
        <v>54</v>
      </c>
      <c r="L57" s="130">
        <v>15</v>
      </c>
      <c r="M57" s="132">
        <v>1</v>
      </c>
      <c r="N57" s="133" t="s">
        <v>54</v>
      </c>
      <c r="O57" s="133">
        <v>15</v>
      </c>
      <c r="P57" s="134">
        <v>1</v>
      </c>
      <c r="Q57" s="134" t="s">
        <v>54</v>
      </c>
      <c r="R57" s="135">
        <f t="shared" si="3"/>
        <v>15</v>
      </c>
    </row>
    <row r="58" spans="1:18" x14ac:dyDescent="0.2">
      <c r="A58" s="54">
        <v>244232</v>
      </c>
      <c r="B58" s="122" t="s">
        <v>821</v>
      </c>
      <c r="C58" s="136" t="s">
        <v>344</v>
      </c>
      <c r="D58" s="48"/>
      <c r="E58" s="47" t="s">
        <v>10</v>
      </c>
      <c r="F58" s="48" t="s">
        <v>542</v>
      </c>
      <c r="G58" s="47" t="s">
        <v>606</v>
      </c>
      <c r="H58" s="47"/>
      <c r="I58" s="151">
        <v>68.75</v>
      </c>
      <c r="J58" s="130">
        <v>5</v>
      </c>
      <c r="K58" s="130" t="s">
        <v>54</v>
      </c>
      <c r="L58" s="130">
        <v>13.75</v>
      </c>
      <c r="M58" s="132">
        <v>1</v>
      </c>
      <c r="N58" s="133" t="s">
        <v>54</v>
      </c>
      <c r="O58" s="133">
        <v>13.75</v>
      </c>
      <c r="P58" s="134">
        <v>1</v>
      </c>
      <c r="Q58" s="134" t="s">
        <v>54</v>
      </c>
      <c r="R58" s="135">
        <f t="shared" si="3"/>
        <v>13.75</v>
      </c>
    </row>
    <row r="59" spans="1:18" x14ac:dyDescent="0.2">
      <c r="A59" s="54">
        <v>244232</v>
      </c>
      <c r="B59" s="122" t="s">
        <v>821</v>
      </c>
      <c r="C59" s="136" t="s">
        <v>345</v>
      </c>
      <c r="D59" s="48"/>
      <c r="E59" s="47" t="s">
        <v>546</v>
      </c>
      <c r="F59" s="48" t="s">
        <v>542</v>
      </c>
      <c r="G59" s="47" t="s">
        <v>607</v>
      </c>
      <c r="H59" s="47"/>
      <c r="I59" s="151">
        <v>85</v>
      </c>
      <c r="J59" s="130">
        <v>5</v>
      </c>
      <c r="K59" s="130" t="s">
        <v>54</v>
      </c>
      <c r="L59" s="130">
        <v>17</v>
      </c>
      <c r="M59" s="132">
        <v>1</v>
      </c>
      <c r="N59" s="133" t="s">
        <v>54</v>
      </c>
      <c r="O59" s="133">
        <v>17</v>
      </c>
      <c r="P59" s="134">
        <v>1</v>
      </c>
      <c r="Q59" s="134" t="s">
        <v>54</v>
      </c>
      <c r="R59" s="135">
        <f t="shared" si="3"/>
        <v>17</v>
      </c>
    </row>
    <row r="60" spans="1:18" x14ac:dyDescent="0.2">
      <c r="A60" s="54">
        <v>244232</v>
      </c>
      <c r="B60" s="122" t="s">
        <v>821</v>
      </c>
      <c r="C60" s="136" t="s">
        <v>346</v>
      </c>
      <c r="D60" s="48"/>
      <c r="E60" s="47" t="s">
        <v>608</v>
      </c>
      <c r="F60" s="48" t="s">
        <v>609</v>
      </c>
      <c r="G60" s="47" t="s">
        <v>610</v>
      </c>
      <c r="H60" s="47"/>
      <c r="I60" s="151">
        <v>88.5</v>
      </c>
      <c r="J60" s="130">
        <v>1</v>
      </c>
      <c r="K60" s="130" t="s">
        <v>50</v>
      </c>
      <c r="L60" s="130">
        <v>88.5</v>
      </c>
      <c r="M60" s="132">
        <v>10</v>
      </c>
      <c r="N60" s="133" t="s">
        <v>58</v>
      </c>
      <c r="O60" s="133">
        <v>8.85</v>
      </c>
      <c r="P60" s="134">
        <v>1</v>
      </c>
      <c r="Q60" s="134" t="s">
        <v>58</v>
      </c>
      <c r="R60" s="135">
        <f t="shared" si="3"/>
        <v>0.88500000000000001</v>
      </c>
    </row>
    <row r="61" spans="1:18" x14ac:dyDescent="0.2">
      <c r="A61" s="54">
        <v>244232</v>
      </c>
      <c r="B61" s="122" t="s">
        <v>821</v>
      </c>
      <c r="C61" s="136" t="s">
        <v>347</v>
      </c>
      <c r="D61" s="48"/>
      <c r="E61" s="47" t="s">
        <v>611</v>
      </c>
      <c r="F61" s="48" t="s">
        <v>612</v>
      </c>
      <c r="G61" s="47" t="s">
        <v>611</v>
      </c>
      <c r="H61" s="47"/>
      <c r="I61" s="151">
        <v>447</v>
      </c>
      <c r="J61" s="130">
        <v>1</v>
      </c>
      <c r="K61" s="130" t="s">
        <v>50</v>
      </c>
      <c r="L61" s="130">
        <v>447</v>
      </c>
      <c r="M61" s="132">
        <v>100</v>
      </c>
      <c r="N61" s="133" t="s">
        <v>58</v>
      </c>
      <c r="O61" s="133">
        <v>447</v>
      </c>
      <c r="P61" s="134">
        <v>1</v>
      </c>
      <c r="Q61" s="134" t="s">
        <v>58</v>
      </c>
      <c r="R61" s="135">
        <f t="shared" si="3"/>
        <v>4.47</v>
      </c>
    </row>
    <row r="62" spans="1:18" x14ac:dyDescent="0.2">
      <c r="A62" s="54">
        <v>244232</v>
      </c>
      <c r="B62" s="122" t="s">
        <v>821</v>
      </c>
      <c r="C62" s="136" t="s">
        <v>348</v>
      </c>
      <c r="D62" s="48"/>
      <c r="E62" s="50" t="s">
        <v>82</v>
      </c>
      <c r="F62" s="48" t="s">
        <v>613</v>
      </c>
      <c r="G62" s="47" t="s">
        <v>614</v>
      </c>
      <c r="H62" s="47" t="s">
        <v>615</v>
      </c>
      <c r="I62" s="151">
        <v>167</v>
      </c>
      <c r="J62" s="130">
        <v>1</v>
      </c>
      <c r="K62" s="130" t="s">
        <v>50</v>
      </c>
      <c r="L62" s="130">
        <v>167</v>
      </c>
      <c r="M62" s="157">
        <v>30</v>
      </c>
      <c r="N62" s="133" t="s">
        <v>58</v>
      </c>
      <c r="O62" s="133">
        <v>167</v>
      </c>
      <c r="P62" s="134">
        <v>1</v>
      </c>
      <c r="Q62" s="134" t="s">
        <v>58</v>
      </c>
      <c r="R62" s="135">
        <f t="shared" si="3"/>
        <v>5.5666666666666664</v>
      </c>
    </row>
    <row r="63" spans="1:18" x14ac:dyDescent="0.2">
      <c r="A63" s="54">
        <v>244232</v>
      </c>
      <c r="B63" s="122" t="s">
        <v>821</v>
      </c>
      <c r="C63" s="128" t="s">
        <v>349</v>
      </c>
      <c r="D63" s="48">
        <v>2</v>
      </c>
      <c r="E63" s="47" t="s">
        <v>525</v>
      </c>
      <c r="F63" s="48" t="s">
        <v>526</v>
      </c>
      <c r="G63" s="47" t="s">
        <v>616</v>
      </c>
      <c r="H63" s="47"/>
      <c r="I63" s="151">
        <v>130</v>
      </c>
      <c r="J63" s="130">
        <v>5</v>
      </c>
      <c r="K63" s="130" t="s">
        <v>50</v>
      </c>
      <c r="L63" s="130">
        <v>26</v>
      </c>
      <c r="M63" s="157">
        <v>30</v>
      </c>
      <c r="N63" s="133" t="s">
        <v>58</v>
      </c>
      <c r="O63" s="133">
        <v>26</v>
      </c>
      <c r="P63" s="134">
        <v>1</v>
      </c>
      <c r="Q63" s="134" t="s">
        <v>58</v>
      </c>
      <c r="R63" s="135">
        <f t="shared" si="3"/>
        <v>0.8666666666666667</v>
      </c>
    </row>
    <row r="64" spans="1:18" x14ac:dyDescent="0.2">
      <c r="A64" s="46">
        <v>244245</v>
      </c>
      <c r="B64" s="48"/>
      <c r="C64" s="47" t="s">
        <v>353</v>
      </c>
      <c r="D64" s="48"/>
      <c r="E64" s="47"/>
      <c r="F64" s="48"/>
      <c r="G64" s="47"/>
      <c r="H64" s="47"/>
      <c r="I64" s="89">
        <v>96</v>
      </c>
      <c r="J64" s="66" t="s">
        <v>354</v>
      </c>
      <c r="K64" s="67"/>
      <c r="L64" s="66">
        <v>48</v>
      </c>
      <c r="M64" s="81"/>
      <c r="N64" s="78"/>
      <c r="O64" s="78"/>
      <c r="P64" s="76"/>
      <c r="Q64" s="76"/>
      <c r="R64" s="121" t="e">
        <f t="shared" si="3"/>
        <v>#DIV/0!</v>
      </c>
    </row>
    <row r="65" spans="1:18" x14ac:dyDescent="0.2">
      <c r="A65" s="46">
        <v>244245</v>
      </c>
      <c r="B65" s="48"/>
      <c r="C65" s="47" t="s">
        <v>355</v>
      </c>
      <c r="D65" s="48"/>
      <c r="E65" s="47"/>
      <c r="F65" s="48"/>
      <c r="G65" s="47"/>
      <c r="H65" s="47"/>
      <c r="I65" s="89">
        <v>120</v>
      </c>
      <c r="J65" s="66" t="s">
        <v>356</v>
      </c>
      <c r="K65" s="67"/>
      <c r="L65" s="66">
        <v>6</v>
      </c>
      <c r="M65" s="81"/>
      <c r="N65" s="78"/>
      <c r="O65" s="78"/>
      <c r="P65" s="76"/>
      <c r="Q65" s="76"/>
      <c r="R65" s="121" t="e">
        <f t="shared" si="3"/>
        <v>#DIV/0!</v>
      </c>
    </row>
    <row r="66" spans="1:18" x14ac:dyDescent="0.2">
      <c r="A66" s="46">
        <v>244245</v>
      </c>
      <c r="B66" s="48"/>
      <c r="C66" s="47" t="s">
        <v>357</v>
      </c>
      <c r="D66" s="48" t="s">
        <v>653</v>
      </c>
      <c r="E66" s="47"/>
      <c r="F66" s="48"/>
      <c r="G66" s="47" t="s">
        <v>357</v>
      </c>
      <c r="H66" s="47"/>
      <c r="I66" s="89">
        <v>114</v>
      </c>
      <c r="J66" s="66" t="s">
        <v>358</v>
      </c>
      <c r="K66" s="67" t="s">
        <v>727</v>
      </c>
      <c r="L66" s="66">
        <v>9.5</v>
      </c>
      <c r="M66" s="69">
        <v>12</v>
      </c>
      <c r="N66" s="80" t="s">
        <v>727</v>
      </c>
      <c r="O66" s="78">
        <v>114</v>
      </c>
      <c r="P66" s="76">
        <v>1</v>
      </c>
      <c r="Q66" s="80" t="s">
        <v>727</v>
      </c>
      <c r="R66" s="121">
        <f t="shared" si="3"/>
        <v>9.5</v>
      </c>
    </row>
    <row r="67" spans="1:18" x14ac:dyDescent="0.2">
      <c r="A67" s="46">
        <v>244245</v>
      </c>
      <c r="B67" s="48"/>
      <c r="C67" s="47" t="s">
        <v>359</v>
      </c>
      <c r="D67" s="48"/>
      <c r="E67" s="47"/>
      <c r="F67" s="48"/>
      <c r="G67" s="47"/>
      <c r="H67" s="47"/>
      <c r="I67" s="89">
        <v>400</v>
      </c>
      <c r="J67" s="66" t="s">
        <v>360</v>
      </c>
      <c r="K67" s="67"/>
      <c r="L67" s="66">
        <v>20</v>
      </c>
      <c r="M67" s="69"/>
      <c r="N67" s="78"/>
      <c r="O67" s="78"/>
      <c r="P67" s="76"/>
      <c r="Q67" s="76"/>
      <c r="R67" s="121" t="e">
        <f t="shared" si="3"/>
        <v>#DIV/0!</v>
      </c>
    </row>
    <row r="68" spans="1:18" x14ac:dyDescent="0.2">
      <c r="A68" s="46">
        <v>244245</v>
      </c>
      <c r="B68" s="48"/>
      <c r="C68" s="47" t="s">
        <v>361</v>
      </c>
      <c r="D68" s="48"/>
      <c r="E68" s="47"/>
      <c r="F68" s="48"/>
      <c r="G68" s="47"/>
      <c r="H68" s="47"/>
      <c r="I68" s="89">
        <v>235</v>
      </c>
      <c r="J68" s="66" t="s">
        <v>362</v>
      </c>
      <c r="K68" s="67"/>
      <c r="L68" s="66">
        <v>235</v>
      </c>
      <c r="M68" s="69"/>
      <c r="N68" s="78"/>
      <c r="O68" s="78"/>
      <c r="P68" s="76"/>
      <c r="Q68" s="76"/>
      <c r="R68" s="121" t="e">
        <f t="shared" si="3"/>
        <v>#DIV/0!</v>
      </c>
    </row>
    <row r="69" spans="1:18" x14ac:dyDescent="0.2">
      <c r="A69" s="46">
        <v>244245</v>
      </c>
      <c r="B69" s="48"/>
      <c r="C69" s="47" t="s">
        <v>363</v>
      </c>
      <c r="D69" s="48"/>
      <c r="E69" s="47"/>
      <c r="F69" s="48"/>
      <c r="G69" s="47"/>
      <c r="H69" s="47"/>
      <c r="I69" s="89">
        <v>195</v>
      </c>
      <c r="J69" s="66" t="s">
        <v>362</v>
      </c>
      <c r="K69" s="67"/>
      <c r="L69" s="66">
        <v>195</v>
      </c>
      <c r="M69" s="69"/>
      <c r="N69" s="78"/>
      <c r="O69" s="78"/>
      <c r="P69" s="76"/>
      <c r="Q69" s="76"/>
      <c r="R69" s="121" t="e">
        <f t="shared" si="3"/>
        <v>#DIV/0!</v>
      </c>
    </row>
    <row r="70" spans="1:18" x14ac:dyDescent="0.2">
      <c r="A70" s="46">
        <v>244245</v>
      </c>
      <c r="B70" s="48"/>
      <c r="C70" s="47" t="s">
        <v>364</v>
      </c>
      <c r="D70" s="48"/>
      <c r="E70" s="47"/>
      <c r="F70" s="48"/>
      <c r="G70" s="47"/>
      <c r="H70" s="47"/>
      <c r="I70" s="89">
        <v>575</v>
      </c>
      <c r="J70" s="66" t="s">
        <v>365</v>
      </c>
      <c r="K70" s="67"/>
      <c r="L70" s="66">
        <v>11.5</v>
      </c>
      <c r="M70" s="69"/>
      <c r="N70" s="78"/>
      <c r="O70" s="78"/>
      <c r="P70" s="76"/>
      <c r="Q70" s="76"/>
      <c r="R70" s="121" t="e">
        <f t="shared" si="3"/>
        <v>#DIV/0!</v>
      </c>
    </row>
    <row r="71" spans="1:18" x14ac:dyDescent="0.2">
      <c r="A71" s="46">
        <v>244245</v>
      </c>
      <c r="B71" s="48"/>
      <c r="C71" s="47" t="s">
        <v>366</v>
      </c>
      <c r="D71" s="48"/>
      <c r="E71" s="47"/>
      <c r="F71" s="48"/>
      <c r="G71" s="47"/>
      <c r="H71" s="47"/>
      <c r="I71" s="89">
        <v>44</v>
      </c>
      <c r="J71" s="66" t="s">
        <v>367</v>
      </c>
      <c r="K71" s="67"/>
      <c r="L71" s="66">
        <v>44</v>
      </c>
      <c r="M71" s="69"/>
      <c r="N71" s="78"/>
      <c r="O71" s="78"/>
      <c r="P71" s="76"/>
      <c r="Q71" s="76"/>
      <c r="R71" s="121" t="e">
        <f t="shared" si="3"/>
        <v>#DIV/0!</v>
      </c>
    </row>
    <row r="72" spans="1:18" x14ac:dyDescent="0.2">
      <c r="A72" s="46">
        <v>244245</v>
      </c>
      <c r="B72" s="48"/>
      <c r="C72" s="47" t="s">
        <v>368</v>
      </c>
      <c r="D72" s="48"/>
      <c r="E72" s="47" t="s">
        <v>624</v>
      </c>
      <c r="F72" s="48"/>
      <c r="G72" s="47" t="s">
        <v>623</v>
      </c>
      <c r="H72" s="47"/>
      <c r="I72" s="89">
        <v>132</v>
      </c>
      <c r="J72" s="66" t="s">
        <v>369</v>
      </c>
      <c r="K72" s="67"/>
      <c r="L72" s="66">
        <v>132</v>
      </c>
      <c r="M72" s="69"/>
      <c r="N72" s="78"/>
      <c r="O72" s="78"/>
      <c r="P72" s="76"/>
      <c r="Q72" s="76"/>
      <c r="R72" s="121" t="e">
        <f t="shared" si="3"/>
        <v>#DIV/0!</v>
      </c>
    </row>
    <row r="73" spans="1:18" x14ac:dyDescent="0.2">
      <c r="A73" s="46">
        <v>244245</v>
      </c>
      <c r="B73" s="48"/>
      <c r="C73" s="47" t="s">
        <v>370</v>
      </c>
      <c r="D73" s="48"/>
      <c r="E73" s="47"/>
      <c r="F73" s="48"/>
      <c r="G73" s="47"/>
      <c r="H73" s="47"/>
      <c r="I73" s="89">
        <v>80</v>
      </c>
      <c r="J73" s="66" t="s">
        <v>371</v>
      </c>
      <c r="K73" s="67"/>
      <c r="L73" s="66">
        <v>8</v>
      </c>
      <c r="M73" s="69"/>
      <c r="N73" s="78"/>
      <c r="O73" s="78"/>
      <c r="P73" s="76"/>
      <c r="Q73" s="76"/>
      <c r="R73" s="121" t="e">
        <f t="shared" si="3"/>
        <v>#DIV/0!</v>
      </c>
    </row>
    <row r="74" spans="1:18" x14ac:dyDescent="0.2">
      <c r="A74" s="46">
        <v>244245</v>
      </c>
      <c r="B74" s="48"/>
      <c r="C74" s="47" t="s">
        <v>372</v>
      </c>
      <c r="D74" s="48">
        <v>10</v>
      </c>
      <c r="E74" s="47" t="s">
        <v>5</v>
      </c>
      <c r="F74" s="48" t="s">
        <v>617</v>
      </c>
      <c r="G74" s="47" t="s">
        <v>618</v>
      </c>
      <c r="H74" s="47"/>
      <c r="I74" s="89">
        <v>165</v>
      </c>
      <c r="J74" s="66" t="s">
        <v>373</v>
      </c>
      <c r="K74" s="67" t="s">
        <v>162</v>
      </c>
      <c r="L74" s="66">
        <v>3.3</v>
      </c>
      <c r="M74" s="69">
        <v>50</v>
      </c>
      <c r="N74" s="78" t="s">
        <v>162</v>
      </c>
      <c r="O74" s="78">
        <v>165</v>
      </c>
      <c r="P74" s="76">
        <v>1</v>
      </c>
      <c r="Q74" s="76" t="s">
        <v>162</v>
      </c>
      <c r="R74" s="121">
        <f t="shared" si="3"/>
        <v>3.3</v>
      </c>
    </row>
    <row r="75" spans="1:18" x14ac:dyDescent="0.2">
      <c r="A75" s="46">
        <v>244245</v>
      </c>
      <c r="B75" s="48"/>
      <c r="C75" s="47" t="s">
        <v>374</v>
      </c>
      <c r="D75" s="48"/>
      <c r="E75" s="47"/>
      <c r="F75" s="48" t="s">
        <v>619</v>
      </c>
      <c r="G75" s="47" t="s">
        <v>620</v>
      </c>
      <c r="H75" s="47"/>
      <c r="I75" s="89">
        <v>150</v>
      </c>
      <c r="J75" s="66" t="s">
        <v>375</v>
      </c>
      <c r="K75" s="67" t="s">
        <v>54</v>
      </c>
      <c r="L75" s="66">
        <v>25</v>
      </c>
      <c r="M75" s="69"/>
      <c r="N75" s="78"/>
      <c r="O75" s="78"/>
      <c r="P75" s="76"/>
      <c r="Q75" s="76"/>
      <c r="R75" s="121" t="e">
        <f t="shared" si="3"/>
        <v>#DIV/0!</v>
      </c>
    </row>
    <row r="76" spans="1:18" x14ac:dyDescent="0.2">
      <c r="A76" s="46">
        <v>244245</v>
      </c>
      <c r="B76" s="48"/>
      <c r="C76" s="47" t="s">
        <v>376</v>
      </c>
      <c r="D76" s="48"/>
      <c r="E76" s="47" t="s">
        <v>621</v>
      </c>
      <c r="F76" s="48"/>
      <c r="G76" s="47" t="s">
        <v>621</v>
      </c>
      <c r="H76" s="47"/>
      <c r="I76" s="89">
        <v>225</v>
      </c>
      <c r="J76" s="66" t="s">
        <v>377</v>
      </c>
      <c r="K76" s="67"/>
      <c r="L76" s="66">
        <v>22.5</v>
      </c>
      <c r="M76" s="69"/>
      <c r="N76" s="78"/>
      <c r="O76" s="78"/>
      <c r="P76" s="76"/>
      <c r="Q76" s="76"/>
      <c r="R76" s="121" t="e">
        <f t="shared" si="3"/>
        <v>#DIV/0!</v>
      </c>
    </row>
    <row r="77" spans="1:18" ht="33" x14ac:dyDescent="0.35">
      <c r="A77" s="46">
        <v>244245</v>
      </c>
      <c r="B77" s="48"/>
      <c r="C77" s="47" t="s">
        <v>378</v>
      </c>
      <c r="D77" s="48"/>
      <c r="E77" s="60" t="s">
        <v>10</v>
      </c>
      <c r="F77" s="58">
        <v>500</v>
      </c>
      <c r="G77" s="60" t="s">
        <v>669</v>
      </c>
      <c r="H77" s="60" t="s">
        <v>663</v>
      </c>
      <c r="I77" s="89">
        <v>185</v>
      </c>
      <c r="J77" s="66">
        <v>1</v>
      </c>
      <c r="K77" s="67" t="s">
        <v>54</v>
      </c>
      <c r="L77" s="66">
        <v>185</v>
      </c>
      <c r="M77" s="69">
        <v>1000</v>
      </c>
      <c r="N77" s="78" t="s">
        <v>58</v>
      </c>
      <c r="O77" s="78">
        <v>185</v>
      </c>
      <c r="P77" s="76">
        <v>1</v>
      </c>
      <c r="Q77" s="76" t="s">
        <v>58</v>
      </c>
      <c r="R77" s="121">
        <f t="shared" si="3"/>
        <v>0.185</v>
      </c>
    </row>
    <row r="78" spans="1:18" x14ac:dyDescent="0.2">
      <c r="A78" s="46">
        <v>244245</v>
      </c>
      <c r="B78" s="48"/>
      <c r="C78" s="47" t="s">
        <v>380</v>
      </c>
      <c r="D78" s="48"/>
      <c r="E78" s="47"/>
      <c r="F78" s="48"/>
      <c r="G78" s="47"/>
      <c r="H78" s="47"/>
      <c r="I78" s="89">
        <v>155</v>
      </c>
      <c r="J78" s="66">
        <v>10</v>
      </c>
      <c r="K78" s="67" t="s">
        <v>57</v>
      </c>
      <c r="L78" s="66">
        <v>15.5</v>
      </c>
      <c r="M78" s="69">
        <v>10</v>
      </c>
      <c r="N78" s="78" t="s">
        <v>58</v>
      </c>
      <c r="O78" s="78">
        <v>15.5</v>
      </c>
      <c r="P78" s="76">
        <v>1</v>
      </c>
      <c r="Q78" s="76" t="s">
        <v>58</v>
      </c>
      <c r="R78" s="121">
        <f t="shared" si="3"/>
        <v>1.55</v>
      </c>
    </row>
    <row r="79" spans="1:18" x14ac:dyDescent="0.2">
      <c r="A79" s="46">
        <v>244245</v>
      </c>
      <c r="B79" s="48"/>
      <c r="C79" s="47" t="s">
        <v>382</v>
      </c>
      <c r="D79" s="48"/>
      <c r="E79" s="47" t="s">
        <v>173</v>
      </c>
      <c r="F79" s="48" t="s">
        <v>622</v>
      </c>
      <c r="G79" s="47" t="s">
        <v>382</v>
      </c>
      <c r="H79" s="47"/>
      <c r="I79" s="108">
        <v>315</v>
      </c>
      <c r="J79" s="66">
        <v>3</v>
      </c>
      <c r="K79" s="67" t="s">
        <v>50</v>
      </c>
      <c r="L79" s="105">
        <v>105</v>
      </c>
      <c r="M79" s="69">
        <v>25</v>
      </c>
      <c r="N79" s="78" t="s">
        <v>58</v>
      </c>
      <c r="O79" s="78">
        <v>105</v>
      </c>
      <c r="P79" s="76">
        <v>1</v>
      </c>
      <c r="Q79" s="76" t="s">
        <v>58</v>
      </c>
      <c r="R79" s="121">
        <f t="shared" si="3"/>
        <v>4.2</v>
      </c>
    </row>
    <row r="80" spans="1:18" x14ac:dyDescent="0.2">
      <c r="A80" s="46">
        <v>244259</v>
      </c>
      <c r="B80" s="48"/>
      <c r="C80" t="s">
        <v>384</v>
      </c>
      <c r="D80" s="48"/>
      <c r="E80" s="47"/>
      <c r="F80" s="48"/>
      <c r="G80" s="47"/>
      <c r="H80" s="51"/>
      <c r="I80" s="89">
        <v>550</v>
      </c>
      <c r="J80" s="66" t="s">
        <v>379</v>
      </c>
      <c r="K80" s="67"/>
      <c r="L80" s="66">
        <v>550</v>
      </c>
      <c r="M80" s="69"/>
      <c r="N80" s="78"/>
      <c r="O80" s="78"/>
      <c r="P80" s="76"/>
      <c r="Q80" s="76"/>
      <c r="R80" s="121" t="e">
        <f t="shared" si="3"/>
        <v>#DIV/0!</v>
      </c>
    </row>
    <row r="81" spans="1:18" x14ac:dyDescent="0.2">
      <c r="A81" s="46">
        <v>244259</v>
      </c>
      <c r="B81" s="48"/>
      <c r="C81" t="s">
        <v>385</v>
      </c>
      <c r="D81" s="48"/>
      <c r="E81" s="47"/>
      <c r="F81" s="48"/>
      <c r="G81" s="47"/>
      <c r="H81" s="47"/>
      <c r="I81" s="89">
        <v>80</v>
      </c>
      <c r="J81" s="66" t="s">
        <v>386</v>
      </c>
      <c r="K81" s="67"/>
      <c r="L81" s="66">
        <v>40</v>
      </c>
      <c r="M81" s="69"/>
      <c r="N81" s="78"/>
      <c r="O81" s="78"/>
      <c r="P81" s="76"/>
      <c r="Q81" s="76"/>
      <c r="R81" s="121" t="e">
        <f t="shared" si="3"/>
        <v>#DIV/0!</v>
      </c>
    </row>
    <row r="82" spans="1:18" x14ac:dyDescent="0.2">
      <c r="A82" s="46">
        <v>244259</v>
      </c>
      <c r="B82" s="48"/>
      <c r="C82" t="s">
        <v>387</v>
      </c>
      <c r="D82" s="48"/>
      <c r="E82" s="50"/>
      <c r="F82" s="53"/>
      <c r="G82" s="50"/>
      <c r="H82" s="50"/>
      <c r="I82" s="89">
        <v>170</v>
      </c>
      <c r="J82" s="66" t="s">
        <v>377</v>
      </c>
      <c r="K82" s="67"/>
      <c r="L82" s="66">
        <v>17</v>
      </c>
      <c r="M82" s="69"/>
      <c r="N82" s="78"/>
      <c r="O82" s="78"/>
      <c r="P82" s="76"/>
      <c r="Q82" s="76"/>
      <c r="R82" s="121" t="e">
        <f t="shared" si="3"/>
        <v>#DIV/0!</v>
      </c>
    </row>
    <row r="83" spans="1:18" x14ac:dyDescent="0.2">
      <c r="A83" s="46">
        <v>244259</v>
      </c>
      <c r="B83" s="48"/>
      <c r="C83" s="47" t="s">
        <v>388</v>
      </c>
      <c r="D83" s="48"/>
      <c r="E83" s="47" t="s">
        <v>7</v>
      </c>
      <c r="F83" s="48"/>
      <c r="G83" s="47"/>
      <c r="H83" s="47"/>
      <c r="I83" s="92">
        <v>1110</v>
      </c>
      <c r="J83" s="66" t="s">
        <v>389</v>
      </c>
      <c r="K83" s="67"/>
      <c r="L83" s="66">
        <v>74</v>
      </c>
      <c r="M83" s="69"/>
      <c r="N83" s="78"/>
      <c r="O83" s="78"/>
      <c r="P83" s="76"/>
      <c r="Q83" s="76"/>
      <c r="R83" s="121" t="e">
        <f t="shared" si="3"/>
        <v>#DIV/0!</v>
      </c>
    </row>
    <row r="84" spans="1:18" ht="16.5" x14ac:dyDescent="0.35">
      <c r="A84" s="119">
        <v>244259</v>
      </c>
      <c r="B84" s="48"/>
      <c r="C84" s="47" t="s">
        <v>390</v>
      </c>
      <c r="D84" s="48"/>
      <c r="E84" s="60" t="s">
        <v>0</v>
      </c>
      <c r="F84" s="48"/>
      <c r="G84" s="47"/>
      <c r="H84" s="47"/>
      <c r="I84" s="89">
        <v>275</v>
      </c>
      <c r="J84" s="66">
        <v>50</v>
      </c>
      <c r="K84" s="67" t="s">
        <v>57</v>
      </c>
      <c r="L84" s="66">
        <v>5.5</v>
      </c>
      <c r="M84" s="69">
        <v>10</v>
      </c>
      <c r="N84" s="78" t="s">
        <v>58</v>
      </c>
      <c r="O84" s="78">
        <v>5.5</v>
      </c>
      <c r="P84" s="76">
        <v>1</v>
      </c>
      <c r="Q84" s="76" t="s">
        <v>58</v>
      </c>
      <c r="R84" s="121">
        <f t="shared" si="3"/>
        <v>0.55000000000000004</v>
      </c>
    </row>
    <row r="85" spans="1:18" x14ac:dyDescent="0.2">
      <c r="A85" s="119">
        <v>244259</v>
      </c>
      <c r="B85" s="48"/>
      <c r="C85" s="47" t="s">
        <v>392</v>
      </c>
      <c r="D85" s="48"/>
      <c r="E85" s="47"/>
      <c r="F85" s="48"/>
      <c r="G85" s="47"/>
      <c r="H85" s="47"/>
      <c r="I85" s="89">
        <v>251</v>
      </c>
      <c r="J85" s="66" t="s">
        <v>393</v>
      </c>
      <c r="K85" s="67"/>
      <c r="L85" s="66">
        <v>251</v>
      </c>
      <c r="M85" s="69"/>
      <c r="N85" s="78"/>
      <c r="O85" s="78"/>
      <c r="P85" s="76"/>
      <c r="Q85" s="76"/>
      <c r="R85" s="121" t="e">
        <f t="shared" si="3"/>
        <v>#DIV/0!</v>
      </c>
    </row>
    <row r="86" spans="1:18" x14ac:dyDescent="0.2">
      <c r="A86" s="119">
        <v>244259</v>
      </c>
      <c r="B86" s="48"/>
      <c r="C86" s="47" t="s">
        <v>394</v>
      </c>
      <c r="D86" s="48"/>
      <c r="E86" s="47"/>
      <c r="F86" s="48"/>
      <c r="G86" s="47"/>
      <c r="H86" s="47"/>
      <c r="I86" s="89">
        <v>63</v>
      </c>
      <c r="J86" s="66" t="s">
        <v>395</v>
      </c>
      <c r="K86" s="67"/>
      <c r="L86" s="66">
        <v>31.5</v>
      </c>
      <c r="M86" s="69"/>
      <c r="N86" s="78"/>
      <c r="O86" s="78"/>
      <c r="P86" s="76"/>
      <c r="Q86" s="76"/>
      <c r="R86" s="121" t="e">
        <f t="shared" si="3"/>
        <v>#DIV/0!</v>
      </c>
    </row>
    <row r="87" spans="1:18" x14ac:dyDescent="0.2">
      <c r="A87" s="119">
        <v>244259</v>
      </c>
      <c r="B87" s="48"/>
      <c r="C87" s="47" t="s">
        <v>396</v>
      </c>
      <c r="D87" s="48"/>
      <c r="E87" s="47"/>
      <c r="F87" s="48"/>
      <c r="G87" s="47"/>
      <c r="H87" s="47"/>
      <c r="I87" s="89">
        <v>465</v>
      </c>
      <c r="J87" s="66" t="s">
        <v>397</v>
      </c>
      <c r="K87" s="67"/>
      <c r="L87" s="66">
        <v>93</v>
      </c>
      <c r="M87" s="69"/>
      <c r="N87" s="78"/>
      <c r="O87" s="78"/>
      <c r="P87" s="76"/>
      <c r="Q87" s="76"/>
      <c r="R87" s="121" t="e">
        <f t="shared" si="3"/>
        <v>#DIV/0!</v>
      </c>
    </row>
    <row r="88" spans="1:18" x14ac:dyDescent="0.2">
      <c r="A88" s="119">
        <v>244259</v>
      </c>
      <c r="B88" s="48"/>
      <c r="C88" t="s">
        <v>398</v>
      </c>
      <c r="D88" s="48"/>
      <c r="E88" s="47"/>
      <c r="F88" s="48"/>
      <c r="G88" s="47"/>
      <c r="H88" s="47"/>
      <c r="I88" s="89">
        <v>270</v>
      </c>
      <c r="J88" s="66" t="s">
        <v>268</v>
      </c>
      <c r="K88" s="67"/>
      <c r="L88" s="66">
        <v>13.5</v>
      </c>
      <c r="M88" s="69"/>
      <c r="N88" s="78"/>
      <c r="O88" s="78"/>
      <c r="P88" s="76"/>
      <c r="Q88" s="76"/>
      <c r="R88" s="121" t="e">
        <f t="shared" si="3"/>
        <v>#DIV/0!</v>
      </c>
    </row>
    <row r="89" spans="1:18" x14ac:dyDescent="0.2">
      <c r="A89" s="119">
        <v>244259</v>
      </c>
      <c r="B89" s="48"/>
      <c r="C89" t="s">
        <v>399</v>
      </c>
      <c r="D89" s="48"/>
      <c r="E89" s="50"/>
      <c r="F89" s="53"/>
      <c r="G89" s="50"/>
      <c r="H89" s="50"/>
      <c r="I89" s="89">
        <v>60</v>
      </c>
      <c r="J89" s="66" t="s">
        <v>381</v>
      </c>
      <c r="K89" s="67"/>
      <c r="L89" s="66">
        <v>6</v>
      </c>
      <c r="M89" s="69"/>
      <c r="N89" s="78"/>
      <c r="O89" s="78"/>
      <c r="P89" s="76"/>
      <c r="Q89" s="76"/>
      <c r="R89" s="121" t="e">
        <f t="shared" si="3"/>
        <v>#DIV/0!</v>
      </c>
    </row>
    <row r="90" spans="1:18" x14ac:dyDescent="0.2">
      <c r="A90" s="119">
        <v>244259</v>
      </c>
      <c r="B90" s="48"/>
      <c r="C90" s="47" t="s">
        <v>400</v>
      </c>
      <c r="D90" s="48"/>
      <c r="E90" s="47"/>
      <c r="F90" s="48"/>
      <c r="G90" s="47"/>
      <c r="H90" s="47"/>
      <c r="I90" s="89">
        <v>51</v>
      </c>
      <c r="J90" s="66" t="s">
        <v>401</v>
      </c>
      <c r="K90" s="67" t="s">
        <v>158</v>
      </c>
      <c r="L90" s="66">
        <v>17</v>
      </c>
      <c r="M90" s="69">
        <v>1</v>
      </c>
      <c r="N90" s="78" t="s">
        <v>158</v>
      </c>
      <c r="O90" s="78">
        <v>17</v>
      </c>
      <c r="P90" s="76">
        <v>1</v>
      </c>
      <c r="Q90" s="76" t="s">
        <v>158</v>
      </c>
      <c r="R90" s="121">
        <f t="shared" si="3"/>
        <v>17</v>
      </c>
    </row>
    <row r="91" spans="1:18" x14ac:dyDescent="0.2">
      <c r="A91" s="119">
        <v>244259</v>
      </c>
      <c r="B91" s="48"/>
      <c r="C91" s="47" t="s">
        <v>402</v>
      </c>
      <c r="D91" s="48"/>
      <c r="E91" s="47"/>
      <c r="F91" s="48"/>
      <c r="G91" s="47"/>
      <c r="H91" s="47"/>
      <c r="I91" s="89">
        <v>40</v>
      </c>
      <c r="J91" s="66" t="s">
        <v>403</v>
      </c>
      <c r="K91" s="67" t="s">
        <v>158</v>
      </c>
      <c r="L91" s="66">
        <v>40</v>
      </c>
      <c r="M91" s="69">
        <v>1</v>
      </c>
      <c r="N91" s="78" t="s">
        <v>158</v>
      </c>
      <c r="O91" s="78">
        <v>40</v>
      </c>
      <c r="P91" s="76">
        <v>1</v>
      </c>
      <c r="Q91" s="76" t="s">
        <v>158</v>
      </c>
      <c r="R91" s="121">
        <f t="shared" si="3"/>
        <v>40</v>
      </c>
    </row>
    <row r="92" spans="1:18" x14ac:dyDescent="0.2">
      <c r="A92" s="119">
        <v>244259</v>
      </c>
      <c r="B92" s="48"/>
      <c r="C92" s="47" t="s">
        <v>404</v>
      </c>
      <c r="D92" s="48"/>
      <c r="E92" s="47" t="s">
        <v>3</v>
      </c>
      <c r="F92" s="48"/>
      <c r="G92" s="47"/>
      <c r="H92" s="47"/>
      <c r="I92" s="89">
        <v>99</v>
      </c>
      <c r="J92" s="66">
        <v>1</v>
      </c>
      <c r="K92" s="67" t="s">
        <v>54</v>
      </c>
      <c r="L92" s="66">
        <v>99</v>
      </c>
      <c r="M92" s="69">
        <v>1000</v>
      </c>
      <c r="N92" s="78" t="s">
        <v>58</v>
      </c>
      <c r="O92" s="78">
        <v>99</v>
      </c>
      <c r="P92" s="76">
        <v>1</v>
      </c>
      <c r="Q92" s="76" t="s">
        <v>58</v>
      </c>
      <c r="R92" s="121">
        <f t="shared" si="3"/>
        <v>9.9000000000000005E-2</v>
      </c>
    </row>
    <row r="93" spans="1:18" x14ac:dyDescent="0.2">
      <c r="A93" s="119">
        <v>244259</v>
      </c>
      <c r="B93" s="115"/>
      <c r="C93" s="47" t="s">
        <v>405</v>
      </c>
      <c r="D93" s="48"/>
      <c r="E93" s="47"/>
      <c r="F93" s="48"/>
      <c r="G93" s="47"/>
      <c r="H93" s="47"/>
      <c r="I93" s="89">
        <v>500</v>
      </c>
      <c r="J93" s="66" t="s">
        <v>406</v>
      </c>
      <c r="K93" s="67"/>
      <c r="L93" s="66">
        <v>50</v>
      </c>
      <c r="M93" s="69"/>
      <c r="N93" s="78"/>
      <c r="O93" s="78"/>
      <c r="P93" s="76"/>
      <c r="Q93" s="76"/>
      <c r="R93" s="121" t="e">
        <f t="shared" si="3"/>
        <v>#DIV/0!</v>
      </c>
    </row>
    <row r="94" spans="1:18" x14ac:dyDescent="0.2">
      <c r="A94" s="119">
        <v>244259</v>
      </c>
      <c r="B94" s="115"/>
      <c r="C94" s="47" t="s">
        <v>376</v>
      </c>
      <c r="D94" s="48"/>
      <c r="E94" s="47"/>
      <c r="F94" s="48"/>
      <c r="G94" s="47"/>
      <c r="H94" s="47"/>
      <c r="I94" s="89">
        <v>225</v>
      </c>
      <c r="J94" s="66" t="s">
        <v>377</v>
      </c>
      <c r="K94" s="67"/>
      <c r="L94" s="66">
        <v>22.5</v>
      </c>
      <c r="M94" s="69"/>
      <c r="N94" s="78"/>
      <c r="O94" s="78"/>
      <c r="P94" s="76"/>
      <c r="Q94" s="76"/>
      <c r="R94" s="121" t="e">
        <f t="shared" ref="R94:R179" si="4">O94/M94</f>
        <v>#DIV/0!</v>
      </c>
    </row>
    <row r="95" spans="1:18" x14ac:dyDescent="0.2">
      <c r="A95" s="119">
        <v>244259</v>
      </c>
      <c r="B95" s="115"/>
      <c r="C95" s="47" t="s">
        <v>407</v>
      </c>
      <c r="D95" s="48"/>
      <c r="E95" s="47"/>
      <c r="F95" s="48"/>
      <c r="G95" s="47"/>
      <c r="H95" s="47"/>
      <c r="I95" s="89">
        <v>100</v>
      </c>
      <c r="J95" s="66" t="s">
        <v>408</v>
      </c>
      <c r="K95" s="67"/>
      <c r="L95" s="66">
        <v>5</v>
      </c>
      <c r="M95" s="69"/>
      <c r="N95" s="78"/>
      <c r="O95" s="78"/>
      <c r="P95" s="76"/>
      <c r="Q95" s="76"/>
      <c r="R95" s="121" t="e">
        <f t="shared" si="4"/>
        <v>#DIV/0!</v>
      </c>
    </row>
    <row r="96" spans="1:18" x14ac:dyDescent="0.2">
      <c r="A96" s="119">
        <v>244259</v>
      </c>
      <c r="B96" s="115"/>
      <c r="C96" s="47" t="s">
        <v>374</v>
      </c>
      <c r="D96" s="48"/>
      <c r="E96" s="47"/>
      <c r="F96" s="48"/>
      <c r="G96" s="47"/>
      <c r="H96" s="47"/>
      <c r="I96" s="89">
        <v>125</v>
      </c>
      <c r="J96" s="66" t="s">
        <v>409</v>
      </c>
      <c r="K96" s="67"/>
      <c r="L96" s="66">
        <v>25</v>
      </c>
      <c r="M96" s="69"/>
      <c r="N96" s="78"/>
      <c r="O96" s="78"/>
      <c r="P96" s="76"/>
      <c r="Q96" s="76"/>
      <c r="R96" s="121" t="e">
        <f t="shared" si="4"/>
        <v>#DIV/0!</v>
      </c>
    </row>
    <row r="97" spans="1:18" x14ac:dyDescent="0.2">
      <c r="A97" s="119">
        <v>244259</v>
      </c>
      <c r="B97" s="115"/>
      <c r="C97" s="47" t="s">
        <v>410</v>
      </c>
      <c r="D97" s="48"/>
      <c r="E97" s="47"/>
      <c r="F97" s="48"/>
      <c r="G97" s="47"/>
      <c r="H97" s="47"/>
      <c r="I97" s="89">
        <v>120</v>
      </c>
      <c r="J97" s="66" t="s">
        <v>275</v>
      </c>
      <c r="K97" s="67"/>
      <c r="L97" s="66">
        <v>24</v>
      </c>
      <c r="M97" s="69"/>
      <c r="N97" s="78"/>
      <c r="O97" s="78"/>
      <c r="P97" s="76"/>
      <c r="Q97" s="76"/>
      <c r="R97" s="121" t="e">
        <f t="shared" si="4"/>
        <v>#DIV/0!</v>
      </c>
    </row>
    <row r="98" spans="1:18" x14ac:dyDescent="0.2">
      <c r="A98" s="119">
        <v>244259</v>
      </c>
      <c r="B98" s="115"/>
      <c r="C98" s="47" t="s">
        <v>411</v>
      </c>
      <c r="D98" s="48"/>
      <c r="E98" s="47"/>
      <c r="F98" s="48"/>
      <c r="G98" s="47"/>
      <c r="H98" s="47"/>
      <c r="I98" s="89">
        <v>60</v>
      </c>
      <c r="J98" s="66" t="s">
        <v>275</v>
      </c>
      <c r="K98" s="67"/>
      <c r="L98" s="66">
        <v>12</v>
      </c>
      <c r="M98" s="69"/>
      <c r="N98" s="78"/>
      <c r="O98" s="78"/>
      <c r="P98" s="76"/>
      <c r="Q98" s="76"/>
      <c r="R98" s="121" t="e">
        <f t="shared" si="4"/>
        <v>#DIV/0!</v>
      </c>
    </row>
    <row r="99" spans="1:18" x14ac:dyDescent="0.2">
      <c r="A99" s="119">
        <v>244259</v>
      </c>
      <c r="B99" s="115"/>
      <c r="C99" s="47" t="s">
        <v>382</v>
      </c>
      <c r="D99" s="48"/>
      <c r="E99" s="47" t="s">
        <v>173</v>
      </c>
      <c r="F99" s="48" t="s">
        <v>622</v>
      </c>
      <c r="G99" s="47" t="s">
        <v>382</v>
      </c>
      <c r="H99" s="47"/>
      <c r="I99" s="108">
        <v>210</v>
      </c>
      <c r="J99" s="66">
        <v>2</v>
      </c>
      <c r="K99" s="67" t="s">
        <v>50</v>
      </c>
      <c r="L99" s="105">
        <v>105</v>
      </c>
      <c r="M99" s="69">
        <v>25</v>
      </c>
      <c r="N99" s="78" t="s">
        <v>58</v>
      </c>
      <c r="O99" s="78">
        <v>105</v>
      </c>
      <c r="P99" s="76">
        <v>1</v>
      </c>
      <c r="Q99" s="76" t="s">
        <v>58</v>
      </c>
      <c r="R99" s="121">
        <f t="shared" si="4"/>
        <v>4.2</v>
      </c>
    </row>
    <row r="100" spans="1:18" x14ac:dyDescent="0.2">
      <c r="A100" s="119">
        <v>244259</v>
      </c>
      <c r="B100" s="115"/>
      <c r="C100" s="47" t="s">
        <v>413</v>
      </c>
      <c r="D100" s="48"/>
      <c r="E100" s="47" t="s">
        <v>173</v>
      </c>
      <c r="F100" s="48" t="s">
        <v>617</v>
      </c>
      <c r="G100" s="47" t="s">
        <v>413</v>
      </c>
      <c r="H100" s="47"/>
      <c r="I100" s="108">
        <v>160</v>
      </c>
      <c r="J100" s="66">
        <v>2</v>
      </c>
      <c r="K100" s="67" t="s">
        <v>50</v>
      </c>
      <c r="L100" s="105">
        <v>80</v>
      </c>
      <c r="M100" s="69">
        <v>25</v>
      </c>
      <c r="N100" s="78" t="s">
        <v>58</v>
      </c>
      <c r="O100" s="78">
        <v>80</v>
      </c>
      <c r="P100" s="76">
        <v>1</v>
      </c>
      <c r="Q100" s="76" t="s">
        <v>58</v>
      </c>
      <c r="R100" s="121">
        <f t="shared" si="4"/>
        <v>3.2</v>
      </c>
    </row>
    <row r="101" spans="1:18" x14ac:dyDescent="0.2">
      <c r="A101" s="119">
        <v>244259</v>
      </c>
      <c r="B101" s="115"/>
      <c r="C101" s="47" t="s">
        <v>414</v>
      </c>
      <c r="D101" s="48"/>
      <c r="E101" s="47" t="s">
        <v>946</v>
      </c>
      <c r="F101" s="48" t="s">
        <v>947</v>
      </c>
      <c r="G101" s="47"/>
      <c r="H101" s="47"/>
      <c r="I101" s="89">
        <v>267</v>
      </c>
      <c r="J101" s="66">
        <v>1</v>
      </c>
      <c r="K101" s="67" t="s">
        <v>51</v>
      </c>
      <c r="L101" s="66">
        <v>267</v>
      </c>
      <c r="M101" s="69">
        <v>1</v>
      </c>
      <c r="N101" s="78" t="s">
        <v>51</v>
      </c>
      <c r="O101" s="78">
        <v>267</v>
      </c>
      <c r="P101" s="76">
        <v>1</v>
      </c>
      <c r="Q101" s="76" t="s">
        <v>51</v>
      </c>
      <c r="R101" s="121">
        <f t="shared" si="4"/>
        <v>267</v>
      </c>
    </row>
    <row r="102" spans="1:18" x14ac:dyDescent="0.2">
      <c r="A102" s="119">
        <v>244259</v>
      </c>
      <c r="B102" s="115"/>
      <c r="C102" s="47" t="s">
        <v>416</v>
      </c>
      <c r="D102" s="48"/>
      <c r="E102" s="47"/>
      <c r="F102" s="48"/>
      <c r="G102" s="47"/>
      <c r="H102" s="47"/>
      <c r="I102" s="89">
        <v>32</v>
      </c>
      <c r="J102" s="66">
        <v>2</v>
      </c>
      <c r="K102" s="67" t="s">
        <v>54</v>
      </c>
      <c r="L102" s="66">
        <v>16</v>
      </c>
      <c r="M102" s="69">
        <v>1</v>
      </c>
      <c r="N102" s="78" t="s">
        <v>54</v>
      </c>
      <c r="O102" s="78">
        <v>16</v>
      </c>
      <c r="P102" s="76">
        <v>1</v>
      </c>
      <c r="Q102" s="76" t="s">
        <v>54</v>
      </c>
      <c r="R102" s="121">
        <f t="shared" si="4"/>
        <v>16</v>
      </c>
    </row>
    <row r="103" spans="1:18" x14ac:dyDescent="0.2">
      <c r="A103" s="119">
        <v>244259</v>
      </c>
      <c r="B103" s="115"/>
      <c r="C103" s="47" t="s">
        <v>417</v>
      </c>
      <c r="D103" s="48"/>
      <c r="E103" s="47"/>
      <c r="F103" s="48"/>
      <c r="G103" s="47"/>
      <c r="H103" s="47"/>
      <c r="I103" s="89">
        <v>29</v>
      </c>
      <c r="J103" s="66" t="s">
        <v>386</v>
      </c>
      <c r="K103" s="67"/>
      <c r="L103" s="66">
        <v>14.5</v>
      </c>
      <c r="M103" s="69"/>
      <c r="N103" s="78"/>
      <c r="O103" s="78"/>
      <c r="P103" s="76"/>
      <c r="Q103" s="76"/>
      <c r="R103" s="121" t="e">
        <f t="shared" si="4"/>
        <v>#DIV/0!</v>
      </c>
    </row>
    <row r="104" spans="1:18" x14ac:dyDescent="0.2">
      <c r="A104" s="119">
        <v>244259</v>
      </c>
      <c r="B104" s="115"/>
      <c r="C104" s="47" t="s">
        <v>418</v>
      </c>
      <c r="D104" s="48"/>
      <c r="E104" s="47" t="s">
        <v>944</v>
      </c>
      <c r="F104" s="48"/>
      <c r="G104" s="47"/>
      <c r="H104" s="47"/>
      <c r="I104" s="89">
        <v>245</v>
      </c>
      <c r="J104" s="66">
        <v>5</v>
      </c>
      <c r="K104" s="67" t="s">
        <v>50</v>
      </c>
      <c r="L104" s="66">
        <v>49</v>
      </c>
      <c r="M104" s="69">
        <v>6</v>
      </c>
      <c r="N104" s="78" t="s">
        <v>58</v>
      </c>
      <c r="O104" s="78">
        <v>49</v>
      </c>
      <c r="P104" s="76">
        <v>1</v>
      </c>
      <c r="Q104" s="76" t="s">
        <v>58</v>
      </c>
      <c r="R104" s="121">
        <f t="shared" si="4"/>
        <v>8.1666666666666661</v>
      </c>
    </row>
    <row r="105" spans="1:18" x14ac:dyDescent="0.2">
      <c r="A105" s="119">
        <v>244259</v>
      </c>
      <c r="B105" s="115"/>
      <c r="C105" s="47" t="s">
        <v>420</v>
      </c>
      <c r="D105" s="48"/>
      <c r="E105" s="47"/>
      <c r="F105" s="48"/>
      <c r="G105" s="47"/>
      <c r="H105" s="47"/>
      <c r="I105" s="89">
        <v>460</v>
      </c>
      <c r="J105" s="66" t="s">
        <v>256</v>
      </c>
      <c r="K105" s="67"/>
      <c r="L105" s="66">
        <v>23</v>
      </c>
      <c r="M105" s="69"/>
      <c r="N105" s="78"/>
      <c r="O105" s="78"/>
      <c r="P105" s="76"/>
      <c r="Q105" s="76"/>
      <c r="R105" s="121" t="e">
        <f t="shared" si="4"/>
        <v>#DIV/0!</v>
      </c>
    </row>
    <row r="106" spans="1:18" ht="16.5" x14ac:dyDescent="0.2">
      <c r="A106" s="119">
        <v>244259</v>
      </c>
      <c r="B106" s="115"/>
      <c r="C106" s="47" t="s">
        <v>421</v>
      </c>
      <c r="D106" s="48"/>
      <c r="E106" s="41" t="s">
        <v>143</v>
      </c>
      <c r="F106" s="57">
        <v>80</v>
      </c>
      <c r="G106" s="41" t="s">
        <v>657</v>
      </c>
      <c r="H106" s="59" t="s">
        <v>658</v>
      </c>
      <c r="I106" s="89">
        <v>125</v>
      </c>
      <c r="J106" s="66">
        <v>100</v>
      </c>
      <c r="K106" s="67" t="s">
        <v>58</v>
      </c>
      <c r="L106" s="66">
        <v>12.5</v>
      </c>
      <c r="M106" s="69"/>
      <c r="N106" s="78" t="s">
        <v>58</v>
      </c>
      <c r="O106" s="78"/>
      <c r="P106" s="76"/>
      <c r="Q106" s="76"/>
      <c r="R106" s="121" t="e">
        <f t="shared" si="4"/>
        <v>#DIV/0!</v>
      </c>
    </row>
    <row r="107" spans="1:18" ht="16.5" x14ac:dyDescent="0.2">
      <c r="A107" s="127">
        <v>244324</v>
      </c>
      <c r="B107" s="122" t="s">
        <v>821</v>
      </c>
      <c r="C107" s="128" t="s">
        <v>856</v>
      </c>
      <c r="D107" s="122"/>
      <c r="E107" s="152"/>
      <c r="F107" s="153"/>
      <c r="G107" s="152"/>
      <c r="H107" s="154"/>
      <c r="I107" s="155">
        <v>1287.5</v>
      </c>
      <c r="J107" s="130">
        <v>10</v>
      </c>
      <c r="K107" s="131" t="s">
        <v>54</v>
      </c>
      <c r="L107" s="130">
        <v>128.75</v>
      </c>
      <c r="M107" s="132">
        <v>1</v>
      </c>
      <c r="N107" s="133" t="s">
        <v>54</v>
      </c>
      <c r="O107" s="133">
        <v>128.75</v>
      </c>
      <c r="P107" s="134">
        <v>1</v>
      </c>
      <c r="Q107" s="134" t="s">
        <v>54</v>
      </c>
      <c r="R107" s="135">
        <f t="shared" si="4"/>
        <v>128.75</v>
      </c>
    </row>
    <row r="108" spans="1:18" ht="16.5" x14ac:dyDescent="0.2">
      <c r="A108" s="127">
        <v>244272</v>
      </c>
      <c r="B108" s="122" t="s">
        <v>821</v>
      </c>
      <c r="C108" s="128" t="s">
        <v>858</v>
      </c>
      <c r="D108" s="122"/>
      <c r="E108" s="152"/>
      <c r="F108" s="153"/>
      <c r="G108" s="152"/>
      <c r="H108" s="154"/>
      <c r="I108" s="155">
        <v>200</v>
      </c>
      <c r="J108" s="130">
        <v>1</v>
      </c>
      <c r="K108" s="131" t="s">
        <v>50</v>
      </c>
      <c r="L108" s="130">
        <v>200</v>
      </c>
      <c r="M108" s="132">
        <v>100</v>
      </c>
      <c r="N108" s="133" t="s">
        <v>58</v>
      </c>
      <c r="O108" s="133">
        <v>200</v>
      </c>
      <c r="P108" s="134">
        <v>1</v>
      </c>
      <c r="Q108" s="134" t="s">
        <v>58</v>
      </c>
      <c r="R108" s="135">
        <f t="shared" si="4"/>
        <v>2</v>
      </c>
    </row>
    <row r="109" spans="1:18" ht="16.5" x14ac:dyDescent="0.2">
      <c r="A109" s="127">
        <v>244272</v>
      </c>
      <c r="B109" s="122" t="s">
        <v>821</v>
      </c>
      <c r="C109" s="128" t="s">
        <v>859</v>
      </c>
      <c r="D109" s="122"/>
      <c r="E109" s="152"/>
      <c r="F109" s="153"/>
      <c r="G109" s="152"/>
      <c r="H109" s="154"/>
      <c r="I109" s="155">
        <v>40</v>
      </c>
      <c r="J109" s="130">
        <v>20</v>
      </c>
      <c r="K109" s="131" t="s">
        <v>57</v>
      </c>
      <c r="L109" s="130">
        <v>2</v>
      </c>
      <c r="M109" s="132">
        <v>10</v>
      </c>
      <c r="N109" s="133" t="s">
        <v>58</v>
      </c>
      <c r="O109" s="133">
        <v>2</v>
      </c>
      <c r="P109" s="134">
        <v>1</v>
      </c>
      <c r="Q109" s="134" t="s">
        <v>58</v>
      </c>
      <c r="R109" s="135">
        <f t="shared" si="4"/>
        <v>0.2</v>
      </c>
    </row>
    <row r="110" spans="1:18" ht="16.5" x14ac:dyDescent="0.2">
      <c r="A110" s="127">
        <v>244323</v>
      </c>
      <c r="B110" s="122" t="s">
        <v>821</v>
      </c>
      <c r="C110" s="128" t="s">
        <v>860</v>
      </c>
      <c r="D110" s="122"/>
      <c r="E110" s="152" t="s">
        <v>5</v>
      </c>
      <c r="F110" s="153"/>
      <c r="G110" s="152"/>
      <c r="H110" s="154"/>
      <c r="I110" s="155">
        <v>302</v>
      </c>
      <c r="J110" s="130">
        <v>2</v>
      </c>
      <c r="K110" s="131" t="s">
        <v>50</v>
      </c>
      <c r="L110" s="130">
        <v>151</v>
      </c>
      <c r="M110" s="132">
        <v>50</v>
      </c>
      <c r="N110" s="133" t="s">
        <v>162</v>
      </c>
      <c r="O110" s="133">
        <v>151</v>
      </c>
      <c r="P110" s="134">
        <v>1</v>
      </c>
      <c r="Q110" s="134" t="s">
        <v>162</v>
      </c>
      <c r="R110" s="135">
        <f t="shared" si="4"/>
        <v>3.02</v>
      </c>
    </row>
    <row r="111" spans="1:18" ht="16.5" x14ac:dyDescent="0.2">
      <c r="A111" s="127">
        <v>244303</v>
      </c>
      <c r="B111" s="122" t="s">
        <v>821</v>
      </c>
      <c r="C111" s="128" t="s">
        <v>867</v>
      </c>
      <c r="D111" s="122"/>
      <c r="E111" s="152"/>
      <c r="F111" s="153"/>
      <c r="G111" s="152"/>
      <c r="H111" s="154"/>
      <c r="I111" s="155">
        <v>52</v>
      </c>
      <c r="J111" s="130">
        <v>1</v>
      </c>
      <c r="K111" s="131" t="s">
        <v>54</v>
      </c>
      <c r="L111" s="130">
        <v>52</v>
      </c>
      <c r="M111" s="132">
        <v>1</v>
      </c>
      <c r="N111" s="133" t="s">
        <v>54</v>
      </c>
      <c r="O111" s="133">
        <v>52</v>
      </c>
      <c r="P111" s="134">
        <v>1</v>
      </c>
      <c r="Q111" s="134" t="s">
        <v>54</v>
      </c>
      <c r="R111" s="135">
        <f t="shared" si="4"/>
        <v>52</v>
      </c>
    </row>
    <row r="112" spans="1:18" ht="16.5" x14ac:dyDescent="0.2">
      <c r="A112" s="127">
        <v>244303</v>
      </c>
      <c r="B112" s="122" t="s">
        <v>821</v>
      </c>
      <c r="C112" s="128" t="s">
        <v>861</v>
      </c>
      <c r="D112" s="122"/>
      <c r="E112" s="152"/>
      <c r="F112" s="153"/>
      <c r="G112" s="152"/>
      <c r="H112" s="154"/>
      <c r="I112" s="155">
        <v>159</v>
      </c>
      <c r="J112" s="130">
        <v>1</v>
      </c>
      <c r="K112" s="131" t="s">
        <v>50</v>
      </c>
      <c r="L112" s="130">
        <v>159</v>
      </c>
      <c r="M112" s="132">
        <v>50</v>
      </c>
      <c r="N112" s="133" t="s">
        <v>54</v>
      </c>
      <c r="O112" s="133">
        <v>159</v>
      </c>
      <c r="P112" s="134">
        <v>1</v>
      </c>
      <c r="Q112" s="134" t="s">
        <v>54</v>
      </c>
      <c r="R112" s="135">
        <f t="shared" si="4"/>
        <v>3.18</v>
      </c>
    </row>
    <row r="113" spans="1:18" ht="16.5" x14ac:dyDescent="0.2">
      <c r="A113" s="127">
        <v>244303</v>
      </c>
      <c r="B113" s="122" t="s">
        <v>821</v>
      </c>
      <c r="C113" s="128" t="s">
        <v>868</v>
      </c>
      <c r="D113" s="122"/>
      <c r="E113" s="152"/>
      <c r="F113" s="153"/>
      <c r="G113" s="152"/>
      <c r="H113" s="154"/>
      <c r="I113" s="155">
        <v>184</v>
      </c>
      <c r="J113" s="130">
        <v>1</v>
      </c>
      <c r="K113" s="131" t="s">
        <v>50</v>
      </c>
      <c r="L113" s="130">
        <v>184</v>
      </c>
      <c r="M113" s="132">
        <v>50</v>
      </c>
      <c r="N113" s="133" t="s">
        <v>54</v>
      </c>
      <c r="O113" s="133">
        <v>184</v>
      </c>
      <c r="P113" s="134">
        <v>1</v>
      </c>
      <c r="Q113" s="134" t="s">
        <v>54</v>
      </c>
      <c r="R113" s="135">
        <f t="shared" si="4"/>
        <v>3.68</v>
      </c>
    </row>
    <row r="114" spans="1:18" ht="16.5" x14ac:dyDescent="0.2">
      <c r="A114" s="127">
        <v>244303</v>
      </c>
      <c r="B114" s="122" t="s">
        <v>821</v>
      </c>
      <c r="C114" s="128" t="s">
        <v>862</v>
      </c>
      <c r="D114" s="122"/>
      <c r="E114" s="152"/>
      <c r="F114" s="153"/>
      <c r="G114" s="152"/>
      <c r="H114" s="154"/>
      <c r="I114" s="155">
        <v>45.5</v>
      </c>
      <c r="J114" s="130">
        <v>1</v>
      </c>
      <c r="K114" s="131" t="s">
        <v>50</v>
      </c>
      <c r="L114" s="130">
        <v>45.5</v>
      </c>
      <c r="M114" s="132">
        <v>10</v>
      </c>
      <c r="N114" s="133" t="s">
        <v>54</v>
      </c>
      <c r="O114" s="133">
        <v>45.5</v>
      </c>
      <c r="P114" s="134">
        <v>1</v>
      </c>
      <c r="Q114" s="134" t="s">
        <v>54</v>
      </c>
      <c r="R114" s="135">
        <f t="shared" si="4"/>
        <v>4.55</v>
      </c>
    </row>
    <row r="115" spans="1:18" ht="16.5" x14ac:dyDescent="0.2">
      <c r="A115" s="127">
        <v>244303</v>
      </c>
      <c r="B115" s="122" t="s">
        <v>821</v>
      </c>
      <c r="C115" s="128" t="s">
        <v>863</v>
      </c>
      <c r="D115" s="122"/>
      <c r="E115" s="152" t="s">
        <v>546</v>
      </c>
      <c r="F115" s="48" t="s">
        <v>950</v>
      </c>
      <c r="G115" s="152"/>
      <c r="H115" s="154"/>
      <c r="I115" s="155">
        <v>370</v>
      </c>
      <c r="J115" s="130">
        <v>1</v>
      </c>
      <c r="K115" s="131" t="s">
        <v>86</v>
      </c>
      <c r="L115" s="130">
        <v>370</v>
      </c>
      <c r="M115" s="132">
        <v>1000</v>
      </c>
      <c r="N115" s="133" t="s">
        <v>58</v>
      </c>
      <c r="O115" s="133">
        <v>370</v>
      </c>
      <c r="P115" s="134">
        <v>1</v>
      </c>
      <c r="Q115" s="134" t="s">
        <v>58</v>
      </c>
      <c r="R115" s="135">
        <f t="shared" si="4"/>
        <v>0.37</v>
      </c>
    </row>
    <row r="116" spans="1:18" ht="16.5" x14ac:dyDescent="0.2">
      <c r="A116" s="127">
        <v>244303</v>
      </c>
      <c r="B116" s="122" t="s">
        <v>821</v>
      </c>
      <c r="C116" s="128" t="s">
        <v>864</v>
      </c>
      <c r="D116" s="122"/>
      <c r="E116" s="152"/>
      <c r="F116" s="153"/>
      <c r="G116" s="152"/>
      <c r="H116" s="154"/>
      <c r="I116" s="155">
        <v>252</v>
      </c>
      <c r="J116" s="130">
        <v>6</v>
      </c>
      <c r="K116" s="131" t="s">
        <v>50</v>
      </c>
      <c r="L116" s="130">
        <v>42</v>
      </c>
      <c r="M116" s="132">
        <v>14</v>
      </c>
      <c r="N116" s="133" t="s">
        <v>58</v>
      </c>
      <c r="O116" s="133">
        <v>42</v>
      </c>
      <c r="P116" s="134">
        <v>1</v>
      </c>
      <c r="Q116" s="134" t="s">
        <v>58</v>
      </c>
      <c r="R116" s="135">
        <f t="shared" si="4"/>
        <v>3</v>
      </c>
    </row>
    <row r="117" spans="1:18" ht="16.5" x14ac:dyDescent="0.2">
      <c r="A117" s="127">
        <v>244303</v>
      </c>
      <c r="B117" s="122" t="s">
        <v>821</v>
      </c>
      <c r="C117" s="128" t="s">
        <v>865</v>
      </c>
      <c r="D117" s="122"/>
      <c r="E117" s="152"/>
      <c r="F117" s="153"/>
      <c r="G117" s="152"/>
      <c r="H117" s="154"/>
      <c r="I117" s="155">
        <v>98</v>
      </c>
      <c r="J117" s="130">
        <v>1</v>
      </c>
      <c r="K117" s="131" t="s">
        <v>86</v>
      </c>
      <c r="L117" s="130">
        <v>98</v>
      </c>
      <c r="M117" s="132">
        <v>100</v>
      </c>
      <c r="N117" s="133" t="s">
        <v>58</v>
      </c>
      <c r="O117" s="133">
        <v>98</v>
      </c>
      <c r="P117" s="134">
        <v>1</v>
      </c>
      <c r="Q117" s="134" t="s">
        <v>58</v>
      </c>
      <c r="R117" s="135">
        <f t="shared" si="4"/>
        <v>0.98</v>
      </c>
    </row>
    <row r="118" spans="1:18" ht="16.5" x14ac:dyDescent="0.2">
      <c r="A118" s="127">
        <v>244303</v>
      </c>
      <c r="B118" s="122" t="s">
        <v>821</v>
      </c>
      <c r="C118" s="128" t="s">
        <v>866</v>
      </c>
      <c r="D118" s="122"/>
      <c r="E118" s="152"/>
      <c r="F118" s="153"/>
      <c r="G118" s="152"/>
      <c r="H118" s="154"/>
      <c r="I118" s="155">
        <v>1050</v>
      </c>
      <c r="J118" s="130">
        <v>30</v>
      </c>
      <c r="K118" s="131" t="s">
        <v>50</v>
      </c>
      <c r="L118" s="130">
        <v>35</v>
      </c>
      <c r="M118" s="132">
        <v>1</v>
      </c>
      <c r="N118" s="133" t="s">
        <v>50</v>
      </c>
      <c r="O118" s="133">
        <v>35</v>
      </c>
      <c r="P118" s="134">
        <v>1</v>
      </c>
      <c r="Q118" s="134" t="s">
        <v>50</v>
      </c>
      <c r="R118" s="135">
        <f t="shared" si="4"/>
        <v>35</v>
      </c>
    </row>
    <row r="119" spans="1:18" ht="16.5" x14ac:dyDescent="0.2">
      <c r="A119" s="127">
        <v>244303</v>
      </c>
      <c r="B119" s="122" t="s">
        <v>821</v>
      </c>
      <c r="C119" s="128" t="s">
        <v>349</v>
      </c>
      <c r="D119" s="122"/>
      <c r="E119" s="152"/>
      <c r="F119" s="153"/>
      <c r="G119" s="152"/>
      <c r="H119" s="154"/>
      <c r="I119" s="155">
        <v>156</v>
      </c>
      <c r="J119" s="130">
        <v>6</v>
      </c>
      <c r="K119" s="131" t="s">
        <v>50</v>
      </c>
      <c r="L119" s="130">
        <v>26</v>
      </c>
      <c r="M119" s="132">
        <v>30</v>
      </c>
      <c r="N119" s="133" t="s">
        <v>58</v>
      </c>
      <c r="O119" s="133">
        <v>26</v>
      </c>
      <c r="P119" s="134">
        <v>1</v>
      </c>
      <c r="Q119" s="134" t="s">
        <v>58</v>
      </c>
      <c r="R119" s="135">
        <f t="shared" si="4"/>
        <v>0.8666666666666667</v>
      </c>
    </row>
    <row r="120" spans="1:18" ht="16.5" x14ac:dyDescent="0.2">
      <c r="A120" s="127">
        <v>244159</v>
      </c>
      <c r="B120" s="122" t="s">
        <v>821</v>
      </c>
      <c r="C120" s="128" t="s">
        <v>869</v>
      </c>
      <c r="D120" s="48"/>
      <c r="E120" s="41"/>
      <c r="F120" s="57"/>
      <c r="G120" s="41"/>
      <c r="H120" s="59"/>
      <c r="I120" s="155">
        <v>96</v>
      </c>
      <c r="J120" s="130">
        <v>4</v>
      </c>
      <c r="K120" s="131" t="s">
        <v>51</v>
      </c>
      <c r="L120" s="130">
        <v>24</v>
      </c>
      <c r="M120" s="132">
        <v>1</v>
      </c>
      <c r="N120" s="133" t="s">
        <v>51</v>
      </c>
      <c r="O120" s="133">
        <v>24</v>
      </c>
      <c r="P120" s="134">
        <v>1</v>
      </c>
      <c r="Q120" s="134" t="s">
        <v>51</v>
      </c>
      <c r="R120" s="135">
        <f t="shared" si="4"/>
        <v>24</v>
      </c>
    </row>
    <row r="121" spans="1:18" ht="16.5" x14ac:dyDescent="0.2">
      <c r="A121" s="127">
        <v>244159</v>
      </c>
      <c r="B121" s="122" t="s">
        <v>821</v>
      </c>
      <c r="C121" s="128" t="s">
        <v>870</v>
      </c>
      <c r="D121" s="48"/>
      <c r="E121" s="41"/>
      <c r="F121" s="57"/>
      <c r="G121" s="41"/>
      <c r="H121" s="59"/>
      <c r="I121" s="155">
        <v>210</v>
      </c>
      <c r="J121" s="130">
        <v>6</v>
      </c>
      <c r="K121" s="131" t="s">
        <v>50</v>
      </c>
      <c r="L121" s="130">
        <v>35</v>
      </c>
      <c r="M121" s="132">
        <v>14</v>
      </c>
      <c r="N121" s="133" t="s">
        <v>58</v>
      </c>
      <c r="O121" s="133">
        <v>35</v>
      </c>
      <c r="P121" s="134">
        <v>1</v>
      </c>
      <c r="Q121" s="134" t="s">
        <v>58</v>
      </c>
      <c r="R121" s="135">
        <f t="shared" si="4"/>
        <v>2.5</v>
      </c>
    </row>
    <row r="122" spans="1:18" ht="16.5" x14ac:dyDescent="0.2">
      <c r="A122" s="127">
        <v>244123</v>
      </c>
      <c r="B122" s="122" t="s">
        <v>821</v>
      </c>
      <c r="C122" s="128" t="s">
        <v>871</v>
      </c>
      <c r="D122" s="122"/>
      <c r="E122" s="152"/>
      <c r="F122" s="153"/>
      <c r="G122" s="152"/>
      <c r="H122" s="154"/>
      <c r="I122" s="155">
        <v>120</v>
      </c>
      <c r="J122" s="130">
        <v>1</v>
      </c>
      <c r="K122" s="131" t="s">
        <v>50</v>
      </c>
      <c r="L122" s="130">
        <v>120</v>
      </c>
      <c r="M122" s="132">
        <v>100</v>
      </c>
      <c r="N122" s="133" t="s">
        <v>58</v>
      </c>
      <c r="O122" s="133">
        <v>120</v>
      </c>
      <c r="P122" s="134">
        <v>1</v>
      </c>
      <c r="Q122" s="134" t="s">
        <v>58</v>
      </c>
      <c r="R122" s="135">
        <f t="shared" si="4"/>
        <v>1.2</v>
      </c>
    </row>
    <row r="123" spans="1:18" ht="16.5" x14ac:dyDescent="0.2">
      <c r="A123" s="127">
        <v>244123</v>
      </c>
      <c r="B123" s="122" t="s">
        <v>821</v>
      </c>
      <c r="C123" s="128" t="s">
        <v>872</v>
      </c>
      <c r="D123" s="122"/>
      <c r="E123" s="152" t="s">
        <v>939</v>
      </c>
      <c r="F123" s="153"/>
      <c r="G123" s="152"/>
      <c r="H123" s="154"/>
      <c r="I123" s="155">
        <v>276.75</v>
      </c>
      <c r="J123" s="130">
        <v>9</v>
      </c>
      <c r="K123" s="131" t="s">
        <v>54</v>
      </c>
      <c r="L123" s="130">
        <v>30.75</v>
      </c>
      <c r="M123" s="132">
        <v>1</v>
      </c>
      <c r="N123" s="133" t="s">
        <v>54</v>
      </c>
      <c r="O123" s="133">
        <v>30.75</v>
      </c>
      <c r="P123" s="134">
        <v>1</v>
      </c>
      <c r="Q123" s="134" t="s">
        <v>54</v>
      </c>
      <c r="R123" s="135">
        <f t="shared" si="4"/>
        <v>30.75</v>
      </c>
    </row>
    <row r="124" spans="1:18" ht="16.5" x14ac:dyDescent="0.2">
      <c r="A124" s="127">
        <v>244224</v>
      </c>
      <c r="B124" s="122" t="s">
        <v>821</v>
      </c>
      <c r="C124" s="128" t="s">
        <v>872</v>
      </c>
      <c r="D124" s="122"/>
      <c r="E124" s="152" t="s">
        <v>939</v>
      </c>
      <c r="F124" s="153"/>
      <c r="G124" s="152"/>
      <c r="H124" s="154"/>
      <c r="I124" s="155">
        <v>738</v>
      </c>
      <c r="J124" s="130">
        <v>12</v>
      </c>
      <c r="K124" s="131" t="s">
        <v>54</v>
      </c>
      <c r="L124" s="130">
        <v>369</v>
      </c>
      <c r="M124" s="132">
        <v>12</v>
      </c>
      <c r="N124" s="133" t="s">
        <v>54</v>
      </c>
      <c r="O124" s="133">
        <v>369</v>
      </c>
      <c r="P124" s="134">
        <v>1</v>
      </c>
      <c r="Q124" s="134" t="s">
        <v>54</v>
      </c>
      <c r="R124" s="135">
        <f t="shared" si="4"/>
        <v>30.75</v>
      </c>
    </row>
    <row r="125" spans="1:18" ht="16.5" x14ac:dyDescent="0.2">
      <c r="A125" s="127">
        <v>244271</v>
      </c>
      <c r="B125" s="122" t="s">
        <v>821</v>
      </c>
      <c r="C125" s="128" t="s">
        <v>872</v>
      </c>
      <c r="D125" s="122"/>
      <c r="E125" s="152" t="s">
        <v>939</v>
      </c>
      <c r="F125" s="153"/>
      <c r="G125" s="152"/>
      <c r="H125" s="154"/>
      <c r="I125" s="155">
        <v>1476</v>
      </c>
      <c r="J125" s="130">
        <v>12</v>
      </c>
      <c r="K125" s="131" t="s">
        <v>54</v>
      </c>
      <c r="L125" s="130">
        <v>369</v>
      </c>
      <c r="M125" s="132">
        <v>12</v>
      </c>
      <c r="N125" s="133" t="s">
        <v>54</v>
      </c>
      <c r="O125" s="133">
        <v>369</v>
      </c>
      <c r="P125" s="134">
        <v>1</v>
      </c>
      <c r="Q125" s="134" t="s">
        <v>54</v>
      </c>
      <c r="R125" s="135">
        <f t="shared" si="4"/>
        <v>30.75</v>
      </c>
    </row>
    <row r="126" spans="1:18" ht="16.5" x14ac:dyDescent="0.2">
      <c r="A126" s="127"/>
      <c r="B126" s="122"/>
      <c r="C126" s="47"/>
      <c r="D126" s="48"/>
      <c r="E126" s="41"/>
      <c r="F126" s="57"/>
      <c r="G126" s="41"/>
      <c r="H126" s="59"/>
      <c r="I126" s="89"/>
      <c r="J126" s="66"/>
      <c r="K126" s="67"/>
      <c r="L126" s="66"/>
      <c r="M126" s="69"/>
      <c r="N126" s="78"/>
      <c r="O126" s="78"/>
      <c r="P126" s="76"/>
      <c r="Q126" s="76"/>
      <c r="R126" s="135" t="e">
        <f t="shared" si="4"/>
        <v>#DIV/0!</v>
      </c>
    </row>
    <row r="127" spans="1:18" ht="16.5" x14ac:dyDescent="0.2">
      <c r="A127" s="127"/>
      <c r="B127" s="122"/>
      <c r="C127" s="47"/>
      <c r="D127" s="48"/>
      <c r="E127" s="41"/>
      <c r="F127" s="57"/>
      <c r="G127" s="41"/>
      <c r="H127" s="59"/>
      <c r="I127" s="89"/>
      <c r="J127" s="66"/>
      <c r="K127" s="67"/>
      <c r="L127" s="66"/>
      <c r="M127" s="69"/>
      <c r="N127" s="78"/>
      <c r="O127" s="78"/>
      <c r="P127" s="76"/>
      <c r="Q127" s="76"/>
      <c r="R127" s="135" t="e">
        <f t="shared" si="4"/>
        <v>#DIV/0!</v>
      </c>
    </row>
    <row r="128" spans="1:18" ht="16.5" x14ac:dyDescent="0.2">
      <c r="A128" s="127"/>
      <c r="B128" s="122"/>
      <c r="C128" s="47"/>
      <c r="D128" s="48"/>
      <c r="E128" s="41"/>
      <c r="F128" s="57"/>
      <c r="G128" s="41"/>
      <c r="H128" s="59"/>
      <c r="I128" s="89"/>
      <c r="J128" s="66"/>
      <c r="K128" s="67"/>
      <c r="L128" s="66"/>
      <c r="M128" s="69"/>
      <c r="N128" s="78"/>
      <c r="O128" s="78"/>
      <c r="P128" s="76"/>
      <c r="Q128" s="76"/>
      <c r="R128" s="135" t="e">
        <f t="shared" si="4"/>
        <v>#DIV/0!</v>
      </c>
    </row>
    <row r="129" spans="1:18" ht="49.5" x14ac:dyDescent="0.35">
      <c r="A129" s="119">
        <v>244259</v>
      </c>
      <c r="B129" s="115"/>
      <c r="C129" s="47" t="s">
        <v>422</v>
      </c>
      <c r="D129" s="48"/>
      <c r="E129" s="61" t="s">
        <v>4</v>
      </c>
      <c r="F129" s="61" t="s">
        <v>691</v>
      </c>
      <c r="G129" s="60" t="s">
        <v>668</v>
      </c>
      <c r="H129" s="47"/>
      <c r="I129" s="89">
        <v>380</v>
      </c>
      <c r="J129" s="66">
        <v>1</v>
      </c>
      <c r="K129" s="67" t="s">
        <v>54</v>
      </c>
      <c r="L129" s="66">
        <v>380</v>
      </c>
      <c r="M129" s="69">
        <v>500</v>
      </c>
      <c r="N129" s="78" t="s">
        <v>58</v>
      </c>
      <c r="O129" s="78">
        <v>380</v>
      </c>
      <c r="P129" s="76">
        <v>1</v>
      </c>
      <c r="Q129" s="76" t="s">
        <v>58</v>
      </c>
      <c r="R129" s="135">
        <f t="shared" si="4"/>
        <v>0.76</v>
      </c>
    </row>
    <row r="130" spans="1:18" x14ac:dyDescent="0.2">
      <c r="A130" s="119">
        <v>244259</v>
      </c>
      <c r="B130" s="115"/>
      <c r="C130" s="47" t="s">
        <v>424</v>
      </c>
      <c r="D130" s="48">
        <v>1</v>
      </c>
      <c r="E130" s="47" t="s">
        <v>20</v>
      </c>
      <c r="F130" s="48"/>
      <c r="G130" s="47" t="s">
        <v>794</v>
      </c>
      <c r="H130" s="47"/>
      <c r="I130" s="89">
        <v>60</v>
      </c>
      <c r="J130" s="66" t="s">
        <v>381</v>
      </c>
      <c r="K130" s="67"/>
      <c r="L130" s="66">
        <v>6</v>
      </c>
      <c r="M130" s="69">
        <v>100</v>
      </c>
      <c r="N130" s="78" t="s">
        <v>58</v>
      </c>
      <c r="O130" s="78">
        <v>60</v>
      </c>
      <c r="P130" s="76">
        <v>1</v>
      </c>
      <c r="Q130" s="76" t="s">
        <v>58</v>
      </c>
      <c r="R130" s="121">
        <f t="shared" si="4"/>
        <v>0.6</v>
      </c>
    </row>
    <row r="131" spans="1:18" x14ac:dyDescent="0.2">
      <c r="A131" s="115">
        <v>2569</v>
      </c>
      <c r="B131" s="115"/>
      <c r="C131" s="47" t="s">
        <v>425</v>
      </c>
      <c r="D131" s="48"/>
      <c r="E131" s="47"/>
      <c r="F131" s="48"/>
      <c r="G131" s="47"/>
      <c r="H131" s="47"/>
      <c r="I131" s="89">
        <v>56</v>
      </c>
      <c r="J131" s="66" t="s">
        <v>262</v>
      </c>
      <c r="K131" s="67"/>
      <c r="L131" s="66">
        <v>56</v>
      </c>
      <c r="M131" s="69"/>
      <c r="N131" s="78"/>
      <c r="O131" s="78"/>
      <c r="P131" s="76"/>
      <c r="Q131" s="76"/>
      <c r="R131" s="121" t="e">
        <f t="shared" si="4"/>
        <v>#DIV/0!</v>
      </c>
    </row>
    <row r="132" spans="1:18" x14ac:dyDescent="0.2">
      <c r="A132" s="115">
        <v>2569</v>
      </c>
      <c r="B132" s="115"/>
      <c r="C132" s="47" t="s">
        <v>426</v>
      </c>
      <c r="D132" s="48"/>
      <c r="E132" s="47"/>
      <c r="F132" s="48"/>
      <c r="G132" s="47"/>
      <c r="H132" s="47"/>
      <c r="I132" s="89">
        <v>292</v>
      </c>
      <c r="J132" s="66" t="s">
        <v>395</v>
      </c>
      <c r="K132" s="67"/>
      <c r="L132" s="66">
        <v>146</v>
      </c>
      <c r="M132" s="69"/>
      <c r="N132" s="78"/>
      <c r="O132" s="78"/>
      <c r="P132" s="76"/>
      <c r="Q132" s="76"/>
      <c r="R132" s="121" t="e">
        <f t="shared" si="4"/>
        <v>#DIV/0!</v>
      </c>
    </row>
    <row r="133" spans="1:18" x14ac:dyDescent="0.2">
      <c r="A133" s="46">
        <v>244261</v>
      </c>
      <c r="B133" s="48" t="s">
        <v>625</v>
      </c>
      <c r="C133" s="47" t="s">
        <v>432</v>
      </c>
      <c r="D133" s="48"/>
      <c r="E133" s="47"/>
      <c r="F133" s="48"/>
      <c r="G133" s="47"/>
      <c r="H133" s="47"/>
      <c r="I133" s="89">
        <v>156</v>
      </c>
      <c r="J133" s="66">
        <v>2</v>
      </c>
      <c r="K133" s="66" t="s">
        <v>50</v>
      </c>
      <c r="L133" s="67">
        <v>78</v>
      </c>
      <c r="M133" s="69"/>
      <c r="N133" s="78"/>
      <c r="O133" s="78"/>
      <c r="P133" s="76"/>
      <c r="Q133" s="76"/>
      <c r="R133" s="121" t="e">
        <f t="shared" si="4"/>
        <v>#DIV/0!</v>
      </c>
    </row>
    <row r="134" spans="1:18" x14ac:dyDescent="0.2">
      <c r="A134" s="46">
        <v>244261</v>
      </c>
      <c r="B134" s="48" t="s">
        <v>625</v>
      </c>
      <c r="C134" s="47" t="s">
        <v>433</v>
      </c>
      <c r="D134" s="48"/>
      <c r="E134" s="47"/>
      <c r="F134" s="48"/>
      <c r="G134" s="47"/>
      <c r="H134" s="47"/>
      <c r="I134" s="89"/>
      <c r="J134" s="66"/>
      <c r="K134" s="66"/>
      <c r="L134" s="67"/>
      <c r="M134" s="69"/>
      <c r="N134" s="78"/>
      <c r="O134" s="78"/>
      <c r="P134" s="76"/>
      <c r="Q134" s="76"/>
      <c r="R134" s="121" t="e">
        <f t="shared" si="4"/>
        <v>#DIV/0!</v>
      </c>
    </row>
    <row r="135" spans="1:18" x14ac:dyDescent="0.2">
      <c r="A135" s="46">
        <v>244261</v>
      </c>
      <c r="B135" s="48" t="s">
        <v>625</v>
      </c>
      <c r="C135" s="47" t="s">
        <v>434</v>
      </c>
      <c r="D135" s="48">
        <v>10</v>
      </c>
      <c r="E135" s="47" t="s">
        <v>697</v>
      </c>
      <c r="F135" s="48" t="s">
        <v>699</v>
      </c>
      <c r="G135" s="47" t="s">
        <v>700</v>
      </c>
      <c r="H135" s="71"/>
      <c r="I135" s="89">
        <v>580</v>
      </c>
      <c r="J135" s="66">
        <v>2</v>
      </c>
      <c r="K135" s="66" t="s">
        <v>86</v>
      </c>
      <c r="L135" s="67">
        <v>290</v>
      </c>
      <c r="M135" s="69">
        <v>1000</v>
      </c>
      <c r="N135" s="78" t="s">
        <v>58</v>
      </c>
      <c r="O135" s="78">
        <v>290</v>
      </c>
      <c r="P135" s="76">
        <v>1</v>
      </c>
      <c r="Q135" s="76" t="s">
        <v>58</v>
      </c>
      <c r="R135" s="121">
        <f t="shared" si="4"/>
        <v>0.28999999999999998</v>
      </c>
    </row>
    <row r="136" spans="1:18" x14ac:dyDescent="0.2">
      <c r="A136" s="46">
        <v>244261</v>
      </c>
      <c r="B136" s="48" t="s">
        <v>625</v>
      </c>
      <c r="C136" s="47" t="s">
        <v>436</v>
      </c>
      <c r="D136" s="48"/>
      <c r="E136" s="47" t="s">
        <v>939</v>
      </c>
      <c r="F136" s="48"/>
      <c r="G136" s="47"/>
      <c r="H136" s="47"/>
      <c r="I136" s="89">
        <v>125</v>
      </c>
      <c r="J136" s="66">
        <v>1</v>
      </c>
      <c r="K136" s="66" t="s">
        <v>50</v>
      </c>
      <c r="L136" s="67">
        <v>125</v>
      </c>
      <c r="M136" s="69"/>
      <c r="N136" s="78"/>
      <c r="O136" s="78"/>
      <c r="P136" s="76"/>
      <c r="Q136" s="76"/>
      <c r="R136" s="121" t="e">
        <f t="shared" si="4"/>
        <v>#DIV/0!</v>
      </c>
    </row>
    <row r="137" spans="1:18" x14ac:dyDescent="0.2">
      <c r="A137" s="46">
        <v>244261</v>
      </c>
      <c r="B137" s="48" t="s">
        <v>625</v>
      </c>
      <c r="C137" s="47" t="s">
        <v>437</v>
      </c>
      <c r="D137" s="48"/>
      <c r="E137" s="47"/>
      <c r="F137" s="48"/>
      <c r="G137" s="47"/>
      <c r="H137" s="47"/>
      <c r="I137" s="89">
        <v>650</v>
      </c>
      <c r="J137" s="66">
        <v>1</v>
      </c>
      <c r="K137" s="66" t="s">
        <v>54</v>
      </c>
      <c r="L137" s="67">
        <v>650</v>
      </c>
      <c r="M137" s="69"/>
      <c r="N137" s="78"/>
      <c r="O137" s="78"/>
      <c r="P137" s="76"/>
      <c r="Q137" s="76"/>
      <c r="R137" s="121" t="e">
        <f t="shared" si="4"/>
        <v>#DIV/0!</v>
      </c>
    </row>
    <row r="138" spans="1:18" x14ac:dyDescent="0.2">
      <c r="A138" s="46">
        <v>244261</v>
      </c>
      <c r="B138" s="48" t="s">
        <v>625</v>
      </c>
      <c r="C138" s="47" t="s">
        <v>439</v>
      </c>
      <c r="D138" s="48"/>
      <c r="E138" s="47"/>
      <c r="F138" s="48"/>
      <c r="G138" s="47"/>
      <c r="H138" s="47"/>
      <c r="I138" s="89">
        <v>750</v>
      </c>
      <c r="J138" s="66">
        <v>1</v>
      </c>
      <c r="K138" s="66" t="s">
        <v>50</v>
      </c>
      <c r="L138" s="67">
        <v>750</v>
      </c>
      <c r="M138" s="69"/>
      <c r="N138" s="78"/>
      <c r="O138" s="78"/>
      <c r="P138" s="76"/>
      <c r="Q138" s="76"/>
      <c r="R138" s="121" t="e">
        <f t="shared" si="4"/>
        <v>#DIV/0!</v>
      </c>
    </row>
    <row r="139" spans="1:18" x14ac:dyDescent="0.2">
      <c r="A139" s="46">
        <v>244261</v>
      </c>
      <c r="B139" s="48" t="s">
        <v>625</v>
      </c>
      <c r="C139" s="47" t="s">
        <v>441</v>
      </c>
      <c r="D139" s="48"/>
      <c r="E139" s="47"/>
      <c r="F139" s="48"/>
      <c r="G139" s="47"/>
      <c r="H139" s="47"/>
      <c r="I139" s="89">
        <v>230</v>
      </c>
      <c r="J139" s="66">
        <v>1</v>
      </c>
      <c r="K139" s="66" t="s">
        <v>158</v>
      </c>
      <c r="L139" s="67">
        <v>230</v>
      </c>
      <c r="M139" s="69"/>
      <c r="N139" s="78"/>
      <c r="O139" s="78"/>
      <c r="P139" s="76"/>
      <c r="Q139" s="76"/>
      <c r="R139" s="121" t="e">
        <f t="shared" si="4"/>
        <v>#DIV/0!</v>
      </c>
    </row>
    <row r="140" spans="1:18" x14ac:dyDescent="0.2">
      <c r="A140" s="46">
        <v>244261</v>
      </c>
      <c r="B140" s="48" t="s">
        <v>625</v>
      </c>
      <c r="C140" s="47" t="s">
        <v>443</v>
      </c>
      <c r="D140" s="48"/>
      <c r="E140" s="47"/>
      <c r="F140" s="48"/>
      <c r="G140" s="47"/>
      <c r="H140" s="47"/>
      <c r="I140" s="89">
        <v>220</v>
      </c>
      <c r="J140" s="66">
        <v>1</v>
      </c>
      <c r="K140" s="66" t="s">
        <v>86</v>
      </c>
      <c r="L140" s="67">
        <v>220</v>
      </c>
      <c r="M140" s="69"/>
      <c r="N140" s="78"/>
      <c r="O140" s="78"/>
      <c r="P140" s="76"/>
      <c r="Q140" s="76"/>
      <c r="R140" s="121" t="e">
        <f t="shared" si="4"/>
        <v>#DIV/0!</v>
      </c>
    </row>
    <row r="141" spans="1:18" x14ac:dyDescent="0.2">
      <c r="A141" s="46">
        <v>244261</v>
      </c>
      <c r="B141" s="48" t="s">
        <v>625</v>
      </c>
      <c r="C141" s="47" t="s">
        <v>444</v>
      </c>
      <c r="D141" s="48"/>
      <c r="E141" s="47"/>
      <c r="F141" s="48"/>
      <c r="G141" s="47"/>
      <c r="H141" s="47"/>
      <c r="I141" s="89">
        <v>333</v>
      </c>
      <c r="J141" s="66">
        <v>1</v>
      </c>
      <c r="K141" s="66" t="s">
        <v>50</v>
      </c>
      <c r="L141" s="67">
        <v>333</v>
      </c>
      <c r="M141" s="69"/>
      <c r="N141" s="78"/>
      <c r="O141" s="78"/>
      <c r="P141" s="76"/>
      <c r="Q141" s="76"/>
      <c r="R141" s="121" t="e">
        <f t="shared" si="4"/>
        <v>#DIV/0!</v>
      </c>
    </row>
    <row r="142" spans="1:18" x14ac:dyDescent="0.2">
      <c r="A142" s="46">
        <v>244313</v>
      </c>
      <c r="B142" s="48"/>
      <c r="C142" s="47" t="s">
        <v>445</v>
      </c>
      <c r="D142" s="48"/>
      <c r="E142" s="47"/>
      <c r="F142" s="48"/>
      <c r="G142" s="47"/>
      <c r="H142" s="47"/>
      <c r="I142" s="89">
        <v>290</v>
      </c>
      <c r="J142" s="66" t="s">
        <v>379</v>
      </c>
      <c r="K142" s="67"/>
      <c r="L142" s="66">
        <v>290</v>
      </c>
      <c r="M142" s="69"/>
      <c r="N142" s="78"/>
      <c r="O142" s="78"/>
      <c r="P142" s="76"/>
      <c r="Q142" s="76"/>
      <c r="R142" s="121" t="e">
        <f t="shared" si="4"/>
        <v>#DIV/0!</v>
      </c>
    </row>
    <row r="143" spans="1:18" x14ac:dyDescent="0.2">
      <c r="A143" s="46">
        <v>244313</v>
      </c>
      <c r="B143" s="48"/>
      <c r="C143" s="47" t="s">
        <v>446</v>
      </c>
      <c r="D143" s="48"/>
      <c r="E143" s="47"/>
      <c r="F143" s="48"/>
      <c r="G143" s="47"/>
      <c r="H143" s="47"/>
      <c r="I143" s="89">
        <v>215</v>
      </c>
      <c r="J143" s="66" t="s">
        <v>447</v>
      </c>
      <c r="K143" s="67"/>
      <c r="L143" s="66">
        <v>215</v>
      </c>
      <c r="M143" s="69"/>
      <c r="N143" s="78"/>
      <c r="O143" s="78"/>
      <c r="P143" s="76"/>
      <c r="Q143" s="76"/>
      <c r="R143" s="121" t="e">
        <f t="shared" si="4"/>
        <v>#DIV/0!</v>
      </c>
    </row>
    <row r="144" spans="1:18" x14ac:dyDescent="0.2">
      <c r="A144" s="46">
        <v>244313</v>
      </c>
      <c r="B144" s="48"/>
      <c r="C144" s="47" t="s">
        <v>448</v>
      </c>
      <c r="D144" s="48"/>
      <c r="E144" s="47"/>
      <c r="F144" s="48"/>
      <c r="G144" s="47"/>
      <c r="H144" s="47"/>
      <c r="I144" s="89">
        <v>38</v>
      </c>
      <c r="J144" s="66">
        <v>2</v>
      </c>
      <c r="K144" s="67" t="s">
        <v>54</v>
      </c>
      <c r="L144" s="66">
        <v>19</v>
      </c>
      <c r="M144" s="69">
        <v>1</v>
      </c>
      <c r="N144" s="78" t="s">
        <v>54</v>
      </c>
      <c r="O144" s="78">
        <v>19</v>
      </c>
      <c r="P144" s="76">
        <v>1</v>
      </c>
      <c r="Q144" s="76" t="s">
        <v>54</v>
      </c>
      <c r="R144" s="121">
        <f t="shared" si="4"/>
        <v>19</v>
      </c>
    </row>
    <row r="145" spans="1:18" x14ac:dyDescent="0.2">
      <c r="A145" s="46">
        <v>244313</v>
      </c>
      <c r="B145" s="48"/>
      <c r="C145" s="47" t="s">
        <v>417</v>
      </c>
      <c r="D145" s="48"/>
      <c r="E145" s="47"/>
      <c r="F145" s="48"/>
      <c r="G145" s="47"/>
      <c r="H145" s="47"/>
      <c r="I145" s="89">
        <v>72.5</v>
      </c>
      <c r="J145" s="66" t="s">
        <v>409</v>
      </c>
      <c r="K145" s="67"/>
      <c r="L145" s="66">
        <v>14.5</v>
      </c>
      <c r="M145" s="69"/>
      <c r="N145" s="78"/>
      <c r="O145" s="78"/>
      <c r="P145" s="76"/>
      <c r="Q145" s="76"/>
      <c r="R145" s="121" t="e">
        <f t="shared" si="4"/>
        <v>#DIV/0!</v>
      </c>
    </row>
    <row r="146" spans="1:18" x14ac:dyDescent="0.2">
      <c r="A146" s="46">
        <v>244313</v>
      </c>
      <c r="B146" s="48"/>
      <c r="C146" s="47" t="s">
        <v>449</v>
      </c>
      <c r="D146" s="48"/>
      <c r="E146" s="47"/>
      <c r="F146" s="48"/>
      <c r="G146" s="47"/>
      <c r="H146" s="47"/>
      <c r="I146" s="89">
        <v>195</v>
      </c>
      <c r="J146" s="66" t="s">
        <v>450</v>
      </c>
      <c r="K146" s="67"/>
      <c r="L146" s="66">
        <v>19.5</v>
      </c>
      <c r="M146" s="69"/>
      <c r="N146" s="78"/>
      <c r="O146" s="78"/>
      <c r="P146" s="76"/>
      <c r="Q146" s="76"/>
      <c r="R146" s="121" t="e">
        <f t="shared" si="4"/>
        <v>#DIV/0!</v>
      </c>
    </row>
    <row r="147" spans="1:18" x14ac:dyDescent="0.2">
      <c r="A147" s="46">
        <v>244313</v>
      </c>
      <c r="B147" s="48"/>
      <c r="C147" s="47" t="s">
        <v>451</v>
      </c>
      <c r="D147" s="48"/>
      <c r="E147" s="47"/>
      <c r="F147" s="48"/>
      <c r="G147" s="47"/>
      <c r="H147" s="47"/>
      <c r="I147" s="93">
        <v>105</v>
      </c>
      <c r="J147" s="70" t="s">
        <v>452</v>
      </c>
      <c r="K147" s="67"/>
      <c r="L147" s="66">
        <v>1.75</v>
      </c>
      <c r="M147" s="69"/>
      <c r="N147" s="78"/>
      <c r="O147" s="78"/>
      <c r="P147" s="76"/>
      <c r="Q147" s="76"/>
      <c r="R147" s="121" t="e">
        <f t="shared" si="4"/>
        <v>#DIV/0!</v>
      </c>
    </row>
    <row r="148" spans="1:18" x14ac:dyDescent="0.2">
      <c r="A148" s="46">
        <v>244313</v>
      </c>
      <c r="B148" s="48"/>
      <c r="C148" s="47" t="s">
        <v>453</v>
      </c>
      <c r="D148" s="48"/>
      <c r="E148" s="47"/>
      <c r="F148" s="48"/>
      <c r="G148" s="47"/>
      <c r="H148" s="47"/>
      <c r="I148" s="89">
        <v>153</v>
      </c>
      <c r="J148" s="66" t="s">
        <v>454</v>
      </c>
      <c r="K148" s="67"/>
      <c r="L148" s="66">
        <v>12.75</v>
      </c>
      <c r="M148" s="69"/>
      <c r="N148" s="78"/>
      <c r="O148" s="78"/>
      <c r="P148" s="76"/>
      <c r="Q148" s="76"/>
      <c r="R148" s="121" t="e">
        <f t="shared" si="4"/>
        <v>#DIV/0!</v>
      </c>
    </row>
    <row r="149" spans="1:18" x14ac:dyDescent="0.2">
      <c r="A149" s="46">
        <v>244313</v>
      </c>
      <c r="B149" s="48"/>
      <c r="C149" s="47" t="s">
        <v>455</v>
      </c>
      <c r="D149" s="48"/>
      <c r="E149" s="47" t="s">
        <v>546</v>
      </c>
      <c r="F149" s="48" t="s">
        <v>783</v>
      </c>
      <c r="G149" s="47" t="s">
        <v>455</v>
      </c>
      <c r="H149" s="47"/>
      <c r="I149" s="89">
        <v>150</v>
      </c>
      <c r="J149" s="66">
        <v>10</v>
      </c>
      <c r="K149" s="67" t="s">
        <v>54</v>
      </c>
      <c r="L149" s="66">
        <v>15</v>
      </c>
      <c r="M149" s="69">
        <v>1</v>
      </c>
      <c r="N149" s="78" t="s">
        <v>54</v>
      </c>
      <c r="O149" s="78">
        <v>15</v>
      </c>
      <c r="P149" s="76">
        <v>1</v>
      </c>
      <c r="Q149" s="76" t="s">
        <v>54</v>
      </c>
      <c r="R149" s="121">
        <f t="shared" si="4"/>
        <v>15</v>
      </c>
    </row>
    <row r="150" spans="1:18" x14ac:dyDescent="0.2">
      <c r="A150" s="46">
        <v>244313</v>
      </c>
      <c r="B150" s="48"/>
      <c r="C150" s="47" t="s">
        <v>456</v>
      </c>
      <c r="D150" s="48"/>
      <c r="E150" s="47" t="s">
        <v>26</v>
      </c>
      <c r="F150" s="48"/>
      <c r="G150" s="47"/>
      <c r="H150" s="47"/>
      <c r="I150" s="89">
        <v>95</v>
      </c>
      <c r="J150" s="66">
        <v>10</v>
      </c>
      <c r="K150" s="67" t="s">
        <v>54</v>
      </c>
      <c r="L150" s="66">
        <v>9.5</v>
      </c>
      <c r="M150" s="69">
        <v>1</v>
      </c>
      <c r="N150" s="78" t="s">
        <v>54</v>
      </c>
      <c r="O150" s="78">
        <v>9.5</v>
      </c>
      <c r="P150" s="76">
        <v>1</v>
      </c>
      <c r="Q150" s="76" t="s">
        <v>54</v>
      </c>
      <c r="R150" s="121">
        <f t="shared" si="4"/>
        <v>9.5</v>
      </c>
    </row>
    <row r="151" spans="1:18" x14ac:dyDescent="0.2">
      <c r="A151" s="46">
        <v>244313</v>
      </c>
      <c r="B151" s="48"/>
      <c r="C151" s="47" t="s">
        <v>457</v>
      </c>
      <c r="D151" s="48"/>
      <c r="E151" s="47" t="s">
        <v>3</v>
      </c>
      <c r="F151" s="48"/>
      <c r="G151" s="47"/>
      <c r="H151" s="47"/>
      <c r="I151" s="89">
        <v>150</v>
      </c>
      <c r="J151" s="66">
        <v>10</v>
      </c>
      <c r="K151" s="67" t="s">
        <v>54</v>
      </c>
      <c r="L151" s="66">
        <v>15</v>
      </c>
      <c r="M151" s="69">
        <v>1</v>
      </c>
      <c r="N151" s="78" t="s">
        <v>54</v>
      </c>
      <c r="O151" s="78">
        <v>15</v>
      </c>
      <c r="P151" s="76">
        <v>1</v>
      </c>
      <c r="Q151" s="76" t="s">
        <v>54</v>
      </c>
      <c r="R151" s="121">
        <f t="shared" si="4"/>
        <v>15</v>
      </c>
    </row>
    <row r="152" spans="1:18" x14ac:dyDescent="0.2">
      <c r="A152" s="46">
        <v>244313</v>
      </c>
      <c r="B152" s="48"/>
      <c r="C152" s="47" t="s">
        <v>458</v>
      </c>
      <c r="D152" s="48"/>
      <c r="E152" s="47"/>
      <c r="F152" s="48"/>
      <c r="G152" s="47"/>
      <c r="H152" s="47"/>
      <c r="I152" s="89">
        <v>155</v>
      </c>
      <c r="J152" s="66" t="s">
        <v>450</v>
      </c>
      <c r="K152" s="67"/>
      <c r="L152" s="66">
        <v>15.5</v>
      </c>
      <c r="M152" s="69"/>
      <c r="N152" s="78"/>
      <c r="O152" s="78"/>
      <c r="P152" s="76"/>
      <c r="Q152" s="76"/>
      <c r="R152" s="121" t="e">
        <f t="shared" si="4"/>
        <v>#DIV/0!</v>
      </c>
    </row>
    <row r="153" spans="1:18" x14ac:dyDescent="0.2">
      <c r="A153" s="46">
        <v>244313</v>
      </c>
      <c r="B153" s="48"/>
      <c r="C153" s="47" t="s">
        <v>459</v>
      </c>
      <c r="D153" s="48"/>
      <c r="E153" s="47"/>
      <c r="F153" s="48"/>
      <c r="G153" s="47"/>
      <c r="H153" s="47"/>
      <c r="I153" s="89">
        <v>180</v>
      </c>
      <c r="J153" s="66" t="s">
        <v>450</v>
      </c>
      <c r="K153" s="67"/>
      <c r="L153" s="66">
        <v>18</v>
      </c>
      <c r="M153" s="69"/>
      <c r="N153" s="78"/>
      <c r="O153" s="78"/>
      <c r="P153" s="76"/>
      <c r="Q153" s="76"/>
      <c r="R153" s="121" t="e">
        <f t="shared" si="4"/>
        <v>#DIV/0!</v>
      </c>
    </row>
    <row r="154" spans="1:18" x14ac:dyDescent="0.2">
      <c r="A154" s="46">
        <v>244313</v>
      </c>
      <c r="B154" s="48"/>
      <c r="C154" s="47" t="s">
        <v>460</v>
      </c>
      <c r="D154" s="48"/>
      <c r="E154" s="47"/>
      <c r="F154" s="48"/>
      <c r="G154" s="47"/>
      <c r="H154" s="47"/>
      <c r="I154" s="89">
        <v>345</v>
      </c>
      <c r="J154" s="66" t="s">
        <v>461</v>
      </c>
      <c r="K154" s="67"/>
      <c r="L154" s="66">
        <v>345</v>
      </c>
      <c r="M154" s="69"/>
      <c r="N154" s="78"/>
      <c r="O154" s="78"/>
      <c r="P154" s="76"/>
      <c r="Q154" s="76"/>
      <c r="R154" s="121" t="e">
        <f t="shared" si="4"/>
        <v>#DIV/0!</v>
      </c>
    </row>
    <row r="155" spans="1:18" x14ac:dyDescent="0.2">
      <c r="A155" s="46">
        <v>244313</v>
      </c>
      <c r="B155" s="48"/>
      <c r="C155" s="47" t="s">
        <v>255</v>
      </c>
      <c r="D155" s="48"/>
      <c r="E155" s="47"/>
      <c r="F155" s="48"/>
      <c r="G155" s="47"/>
      <c r="H155" s="47"/>
      <c r="I155" s="89">
        <v>336</v>
      </c>
      <c r="J155" s="66" t="s">
        <v>256</v>
      </c>
      <c r="K155" s="67"/>
      <c r="L155" s="66">
        <v>16.8</v>
      </c>
      <c r="M155" s="69"/>
      <c r="N155" s="78"/>
      <c r="O155" s="78"/>
      <c r="P155" s="76"/>
      <c r="Q155" s="76"/>
      <c r="R155" s="121" t="e">
        <f t="shared" si="4"/>
        <v>#DIV/0!</v>
      </c>
    </row>
    <row r="156" spans="1:18" ht="28.5" x14ac:dyDescent="0.2">
      <c r="A156" s="54">
        <v>244321</v>
      </c>
      <c r="B156" s="122" t="s">
        <v>821</v>
      </c>
      <c r="C156" s="47" t="s">
        <v>462</v>
      </c>
      <c r="D156" s="96">
        <v>2</v>
      </c>
      <c r="E156" s="95" t="s">
        <v>660</v>
      </c>
      <c r="F156" s="96" t="s">
        <v>793</v>
      </c>
      <c r="G156" s="95" t="s">
        <v>661</v>
      </c>
      <c r="H156" s="62" t="s">
        <v>662</v>
      </c>
      <c r="I156" s="91">
        <v>56</v>
      </c>
      <c r="J156" s="66">
        <v>1</v>
      </c>
      <c r="K156" s="66" t="s">
        <v>50</v>
      </c>
      <c r="L156" s="124">
        <v>56</v>
      </c>
      <c r="M156" s="69">
        <v>100</v>
      </c>
      <c r="N156" s="78" t="s">
        <v>58</v>
      </c>
      <c r="O156" s="126">
        <v>56</v>
      </c>
      <c r="P156" s="76">
        <v>1</v>
      </c>
      <c r="Q156" s="76" t="s">
        <v>58</v>
      </c>
      <c r="R156" s="121">
        <f t="shared" si="4"/>
        <v>0.56000000000000005</v>
      </c>
    </row>
    <row r="157" spans="1:18" x14ac:dyDescent="0.2">
      <c r="A157" s="54">
        <v>244321</v>
      </c>
      <c r="B157" s="122" t="s">
        <v>821</v>
      </c>
      <c r="C157" s="47" t="s">
        <v>463</v>
      </c>
      <c r="D157" s="48" t="s">
        <v>707</v>
      </c>
      <c r="E157" s="47"/>
      <c r="F157" s="48" t="s">
        <v>784</v>
      </c>
      <c r="G157" s="47"/>
      <c r="H157" s="47"/>
      <c r="I157" s="91">
        <v>248</v>
      </c>
      <c r="J157" s="66">
        <v>2</v>
      </c>
      <c r="K157" s="66" t="s">
        <v>54</v>
      </c>
      <c r="L157" s="124">
        <v>124</v>
      </c>
      <c r="M157" s="69">
        <v>1</v>
      </c>
      <c r="N157" s="78" t="s">
        <v>54</v>
      </c>
      <c r="O157" s="126">
        <v>124</v>
      </c>
      <c r="P157" s="76">
        <v>1</v>
      </c>
      <c r="Q157" s="76" t="s">
        <v>54</v>
      </c>
      <c r="R157" s="121">
        <f t="shared" si="4"/>
        <v>124</v>
      </c>
    </row>
    <row r="158" spans="1:18" x14ac:dyDescent="0.2">
      <c r="A158" s="54">
        <v>244321</v>
      </c>
      <c r="B158" s="122" t="s">
        <v>821</v>
      </c>
      <c r="C158" s="47" t="s">
        <v>464</v>
      </c>
      <c r="D158" s="48">
        <v>3</v>
      </c>
      <c r="E158" s="47" t="s">
        <v>756</v>
      </c>
      <c r="F158" s="48" t="s">
        <v>743</v>
      </c>
      <c r="G158" s="47" t="s">
        <v>732</v>
      </c>
      <c r="H158" s="47" t="s">
        <v>757</v>
      </c>
      <c r="I158" s="91">
        <v>570</v>
      </c>
      <c r="J158" s="66">
        <v>3</v>
      </c>
      <c r="K158" s="66" t="s">
        <v>50</v>
      </c>
      <c r="L158" s="124">
        <v>190</v>
      </c>
      <c r="M158" s="69">
        <v>10</v>
      </c>
      <c r="N158" s="78" t="s">
        <v>58</v>
      </c>
      <c r="O158" s="126">
        <v>19</v>
      </c>
      <c r="P158" s="76">
        <v>1</v>
      </c>
      <c r="Q158" s="76" t="s">
        <v>58</v>
      </c>
      <c r="R158" s="121">
        <f t="shared" si="4"/>
        <v>1.9</v>
      </c>
    </row>
    <row r="159" spans="1:18" x14ac:dyDescent="0.2">
      <c r="A159" s="54">
        <v>244321</v>
      </c>
      <c r="B159" s="122" t="s">
        <v>821</v>
      </c>
      <c r="C159" s="47" t="s">
        <v>466</v>
      </c>
      <c r="D159" s="48"/>
      <c r="E159" s="47"/>
      <c r="F159" s="48"/>
      <c r="G159" s="47"/>
      <c r="H159" s="47"/>
      <c r="I159" s="91">
        <v>386.25</v>
      </c>
      <c r="J159" s="66">
        <v>3</v>
      </c>
      <c r="K159" s="66" t="s">
        <v>54</v>
      </c>
      <c r="L159" s="124">
        <v>128.75</v>
      </c>
      <c r="M159" s="69">
        <v>1</v>
      </c>
      <c r="N159" s="78" t="s">
        <v>50</v>
      </c>
      <c r="O159" s="126">
        <v>128.75</v>
      </c>
      <c r="P159" s="76">
        <v>1</v>
      </c>
      <c r="Q159" s="76" t="s">
        <v>50</v>
      </c>
      <c r="R159" s="121">
        <f t="shared" si="4"/>
        <v>128.75</v>
      </c>
    </row>
    <row r="160" spans="1:18" x14ac:dyDescent="0.2">
      <c r="A160" s="54">
        <v>244321</v>
      </c>
      <c r="B160" s="122" t="s">
        <v>821</v>
      </c>
      <c r="C160" s="47" t="s">
        <v>467</v>
      </c>
      <c r="D160" s="48"/>
      <c r="E160" s="47"/>
      <c r="F160" s="48"/>
      <c r="G160" s="47"/>
      <c r="H160" s="47"/>
      <c r="I160" s="91">
        <v>109.5</v>
      </c>
      <c r="J160" s="66">
        <v>2</v>
      </c>
      <c r="K160" s="66" t="s">
        <v>50</v>
      </c>
      <c r="L160" s="124">
        <v>54.75</v>
      </c>
      <c r="M160" s="69">
        <v>100</v>
      </c>
      <c r="N160" s="78" t="s">
        <v>58</v>
      </c>
      <c r="O160" s="126">
        <v>54.75</v>
      </c>
      <c r="P160" s="76">
        <v>1</v>
      </c>
      <c r="Q160" s="76" t="s">
        <v>58</v>
      </c>
      <c r="R160" s="121">
        <f t="shared" si="4"/>
        <v>0.54749999999999999</v>
      </c>
    </row>
    <row r="161" spans="1:18" x14ac:dyDescent="0.2">
      <c r="A161" s="54">
        <v>244321</v>
      </c>
      <c r="B161" s="122" t="s">
        <v>821</v>
      </c>
      <c r="C161" s="47" t="s">
        <v>468</v>
      </c>
      <c r="D161" s="48"/>
      <c r="E161" s="47"/>
      <c r="F161" s="48"/>
      <c r="G161" s="47"/>
      <c r="H161" s="47"/>
      <c r="I161" s="91">
        <v>315</v>
      </c>
      <c r="J161" s="66">
        <v>1</v>
      </c>
      <c r="K161" s="66" t="s">
        <v>50</v>
      </c>
      <c r="L161" s="124">
        <v>315</v>
      </c>
      <c r="M161" s="69">
        <v>28</v>
      </c>
      <c r="N161" s="78" t="s">
        <v>54</v>
      </c>
      <c r="O161" s="126">
        <v>315</v>
      </c>
      <c r="P161" s="76">
        <v>1</v>
      </c>
      <c r="Q161" s="76" t="s">
        <v>54</v>
      </c>
      <c r="R161" s="121">
        <f t="shared" si="4"/>
        <v>11.25</v>
      </c>
    </row>
    <row r="162" spans="1:18" x14ac:dyDescent="0.2">
      <c r="A162" s="54">
        <v>244321</v>
      </c>
      <c r="B162" s="122" t="s">
        <v>821</v>
      </c>
      <c r="C162" s="47" t="s">
        <v>469</v>
      </c>
      <c r="D162" s="48"/>
      <c r="E162" s="47"/>
      <c r="F162" s="48"/>
      <c r="G162" s="47"/>
      <c r="H162" s="47"/>
      <c r="I162" s="91">
        <v>106.5</v>
      </c>
      <c r="J162" s="66">
        <v>3</v>
      </c>
      <c r="K162" s="66" t="s">
        <v>54</v>
      </c>
      <c r="L162" s="124">
        <v>35.5</v>
      </c>
      <c r="M162" s="69">
        <v>1</v>
      </c>
      <c r="N162" s="78" t="s">
        <v>54</v>
      </c>
      <c r="O162" s="126">
        <v>35.5</v>
      </c>
      <c r="P162" s="76">
        <v>1</v>
      </c>
      <c r="Q162" s="76" t="s">
        <v>54</v>
      </c>
      <c r="R162" s="121">
        <f t="shared" si="4"/>
        <v>35.5</v>
      </c>
    </row>
    <row r="163" spans="1:18" x14ac:dyDescent="0.2">
      <c r="A163" s="54">
        <v>244321</v>
      </c>
      <c r="B163" s="122" t="s">
        <v>821</v>
      </c>
      <c r="C163" s="47" t="s">
        <v>470</v>
      </c>
      <c r="D163" s="48"/>
      <c r="E163" s="47"/>
      <c r="F163" s="48"/>
      <c r="G163" s="47"/>
      <c r="H163" s="47"/>
      <c r="I163" s="91">
        <v>229</v>
      </c>
      <c r="J163" s="66">
        <v>1</v>
      </c>
      <c r="K163" s="66" t="s">
        <v>50</v>
      </c>
      <c r="L163" s="124">
        <v>229</v>
      </c>
      <c r="M163" s="69">
        <v>200</v>
      </c>
      <c r="N163" s="78" t="s">
        <v>58</v>
      </c>
      <c r="O163" s="126">
        <v>229</v>
      </c>
      <c r="P163" s="76">
        <v>1</v>
      </c>
      <c r="Q163" s="76" t="s">
        <v>58</v>
      </c>
      <c r="R163" s="121">
        <f t="shared" si="4"/>
        <v>1.145</v>
      </c>
    </row>
    <row r="164" spans="1:18" ht="30" customHeight="1" x14ac:dyDescent="0.2">
      <c r="A164" s="54">
        <v>244321</v>
      </c>
      <c r="B164" s="122" t="s">
        <v>821</v>
      </c>
      <c r="C164" s="47" t="s">
        <v>471</v>
      </c>
      <c r="D164" s="48"/>
      <c r="E164" s="47"/>
      <c r="F164" s="48"/>
      <c r="G164" s="47"/>
      <c r="H164" s="47"/>
      <c r="I164" s="91">
        <v>350</v>
      </c>
      <c r="J164" s="66">
        <v>10</v>
      </c>
      <c r="K164" s="66" t="s">
        <v>50</v>
      </c>
      <c r="L164" s="124">
        <v>35</v>
      </c>
      <c r="M164" s="69">
        <v>1</v>
      </c>
      <c r="N164" s="78" t="s">
        <v>50</v>
      </c>
      <c r="O164" s="126">
        <v>35</v>
      </c>
      <c r="P164" s="76">
        <v>1</v>
      </c>
      <c r="Q164" s="76" t="s">
        <v>50</v>
      </c>
      <c r="R164" s="121">
        <f t="shared" si="4"/>
        <v>35</v>
      </c>
    </row>
    <row r="165" spans="1:18" x14ac:dyDescent="0.2">
      <c r="A165" s="54">
        <v>244321</v>
      </c>
      <c r="B165" s="122" t="s">
        <v>821</v>
      </c>
      <c r="C165" s="47" t="s">
        <v>472</v>
      </c>
      <c r="D165" s="48"/>
      <c r="E165" s="47"/>
      <c r="F165" s="48"/>
      <c r="G165" s="47"/>
      <c r="H165" s="47"/>
      <c r="I165" s="91">
        <v>45</v>
      </c>
      <c r="J165" s="66">
        <v>1</v>
      </c>
      <c r="K165" s="66" t="s">
        <v>50</v>
      </c>
      <c r="L165" s="124">
        <v>45</v>
      </c>
      <c r="M165" s="69">
        <v>1</v>
      </c>
      <c r="N165" s="78" t="s">
        <v>50</v>
      </c>
      <c r="O165" s="126">
        <v>45</v>
      </c>
      <c r="P165" s="76">
        <v>1</v>
      </c>
      <c r="Q165" s="76" t="s">
        <v>50</v>
      </c>
      <c r="R165" s="121">
        <f t="shared" si="4"/>
        <v>45</v>
      </c>
    </row>
    <row r="166" spans="1:18" x14ac:dyDescent="0.2">
      <c r="A166" s="54">
        <v>244321</v>
      </c>
      <c r="B166" s="122" t="s">
        <v>821</v>
      </c>
      <c r="C166" s="47" t="s">
        <v>473</v>
      </c>
      <c r="D166" s="48"/>
      <c r="E166" s="47"/>
      <c r="F166" s="48"/>
      <c r="G166" s="47"/>
      <c r="H166" s="47"/>
      <c r="I166" s="91">
        <v>55</v>
      </c>
      <c r="J166" s="66">
        <v>1</v>
      </c>
      <c r="K166" s="66" t="s">
        <v>50</v>
      </c>
      <c r="L166" s="124">
        <v>55</v>
      </c>
      <c r="M166" s="69">
        <v>1</v>
      </c>
      <c r="N166" s="78" t="s">
        <v>50</v>
      </c>
      <c r="O166" s="126">
        <v>55</v>
      </c>
      <c r="P166" s="76">
        <v>1</v>
      </c>
      <c r="Q166" s="76" t="s">
        <v>50</v>
      </c>
      <c r="R166" s="121">
        <f t="shared" si="4"/>
        <v>55</v>
      </c>
    </row>
    <row r="167" spans="1:18" x14ac:dyDescent="0.2">
      <c r="A167" s="54">
        <v>244321</v>
      </c>
      <c r="B167" s="122" t="s">
        <v>821</v>
      </c>
      <c r="C167" s="47" t="s">
        <v>474</v>
      </c>
      <c r="D167" s="48"/>
      <c r="E167" s="47"/>
      <c r="F167" s="48"/>
      <c r="G167" s="47"/>
      <c r="H167" s="47"/>
      <c r="I167" s="91">
        <v>75</v>
      </c>
      <c r="J167" s="66">
        <v>1</v>
      </c>
      <c r="K167" s="66" t="s">
        <v>50</v>
      </c>
      <c r="L167" s="124">
        <v>75</v>
      </c>
      <c r="M167" s="69">
        <v>1</v>
      </c>
      <c r="N167" s="78" t="s">
        <v>50</v>
      </c>
      <c r="O167" s="126">
        <v>75</v>
      </c>
      <c r="P167" s="76">
        <v>1</v>
      </c>
      <c r="Q167" s="76" t="s">
        <v>50</v>
      </c>
      <c r="R167" s="121">
        <f t="shared" si="4"/>
        <v>75</v>
      </c>
    </row>
    <row r="168" spans="1:18" x14ac:dyDescent="0.2">
      <c r="A168" s="54">
        <v>244321</v>
      </c>
      <c r="B168" s="122" t="s">
        <v>821</v>
      </c>
      <c r="C168" s="47" t="s">
        <v>475</v>
      </c>
      <c r="D168" s="48"/>
      <c r="E168" s="47"/>
      <c r="F168" s="48"/>
      <c r="G168" s="47"/>
      <c r="H168" s="47"/>
      <c r="I168" s="91">
        <v>185</v>
      </c>
      <c r="J168" s="66">
        <v>12</v>
      </c>
      <c r="K168" s="66" t="s">
        <v>50</v>
      </c>
      <c r="L168" s="124">
        <v>185</v>
      </c>
      <c r="M168" s="69">
        <v>12</v>
      </c>
      <c r="N168" s="78" t="s">
        <v>50</v>
      </c>
      <c r="O168" s="126">
        <v>185</v>
      </c>
      <c r="P168" s="76">
        <v>1</v>
      </c>
      <c r="Q168" s="76" t="s">
        <v>50</v>
      </c>
      <c r="R168" s="121">
        <f t="shared" si="4"/>
        <v>15.416666666666666</v>
      </c>
    </row>
    <row r="169" spans="1:18" x14ac:dyDescent="0.2">
      <c r="A169" s="55">
        <v>244365</v>
      </c>
      <c r="B169" s="48"/>
      <c r="C169" s="47" t="s">
        <v>477</v>
      </c>
      <c r="D169" s="48"/>
      <c r="E169" s="47"/>
      <c r="F169" s="48"/>
      <c r="G169" s="47"/>
      <c r="H169" s="47"/>
      <c r="I169" s="91">
        <v>170</v>
      </c>
      <c r="J169" s="66" t="s">
        <v>478</v>
      </c>
      <c r="K169" s="67"/>
      <c r="L169" s="66">
        <v>1.7</v>
      </c>
      <c r="M169" s="69"/>
      <c r="N169" s="78"/>
      <c r="O169" s="78"/>
      <c r="P169" s="76"/>
      <c r="Q169" s="76"/>
      <c r="R169" s="121" t="e">
        <f t="shared" si="4"/>
        <v>#DIV/0!</v>
      </c>
    </row>
    <row r="170" spans="1:18" s="73" customFormat="1" ht="33" x14ac:dyDescent="0.2">
      <c r="A170" s="100">
        <v>244365</v>
      </c>
      <c r="B170" s="72"/>
      <c r="C170" s="75" t="s">
        <v>479</v>
      </c>
      <c r="D170" s="122">
        <v>2</v>
      </c>
      <c r="E170" s="41" t="s">
        <v>22</v>
      </c>
      <c r="F170" s="57" t="s">
        <v>719</v>
      </c>
      <c r="G170" s="41" t="s">
        <v>792</v>
      </c>
      <c r="H170" s="59" t="s">
        <v>240</v>
      </c>
      <c r="I170" s="101">
        <v>220</v>
      </c>
      <c r="J170" s="80">
        <v>20</v>
      </c>
      <c r="K170" s="99" t="s">
        <v>57</v>
      </c>
      <c r="L170" s="80">
        <v>11</v>
      </c>
      <c r="M170" s="78">
        <v>100</v>
      </c>
      <c r="N170" s="78" t="s">
        <v>58</v>
      </c>
      <c r="O170" s="78"/>
      <c r="P170" s="76">
        <v>1</v>
      </c>
      <c r="Q170" s="76" t="s">
        <v>58</v>
      </c>
      <c r="R170" s="121">
        <f t="shared" si="4"/>
        <v>0</v>
      </c>
    </row>
    <row r="171" spans="1:18" x14ac:dyDescent="0.2">
      <c r="A171" s="55">
        <v>244365</v>
      </c>
      <c r="B171" s="48"/>
      <c r="C171" s="47" t="s">
        <v>480</v>
      </c>
      <c r="D171" s="48"/>
      <c r="E171" s="47"/>
      <c r="F171" s="48" t="s">
        <v>796</v>
      </c>
      <c r="G171" s="47"/>
      <c r="H171" s="47"/>
      <c r="I171" s="91">
        <v>190</v>
      </c>
      <c r="J171" s="66">
        <v>20</v>
      </c>
      <c r="K171" s="67" t="s">
        <v>57</v>
      </c>
      <c r="L171" s="66">
        <v>9.5</v>
      </c>
      <c r="M171" s="69">
        <v>10</v>
      </c>
      <c r="N171" s="78" t="s">
        <v>58</v>
      </c>
      <c r="O171" s="78">
        <v>9.5</v>
      </c>
      <c r="P171" s="76">
        <v>1</v>
      </c>
      <c r="Q171" s="76" t="s">
        <v>58</v>
      </c>
      <c r="R171" s="121">
        <f t="shared" si="4"/>
        <v>0.95</v>
      </c>
    </row>
    <row r="172" spans="1:18" x14ac:dyDescent="0.2">
      <c r="A172" s="55">
        <v>244365</v>
      </c>
      <c r="B172" s="48"/>
      <c r="C172" s="47" t="s">
        <v>376</v>
      </c>
      <c r="D172" s="48"/>
      <c r="E172" s="47"/>
      <c r="F172" s="48"/>
      <c r="G172" s="47"/>
      <c r="H172" s="47"/>
      <c r="I172" s="91">
        <v>270</v>
      </c>
      <c r="J172" s="66" t="s">
        <v>481</v>
      </c>
      <c r="K172" s="67"/>
      <c r="L172" s="66">
        <v>22.5</v>
      </c>
      <c r="M172" s="69"/>
      <c r="N172" s="78"/>
      <c r="O172" s="78"/>
      <c r="P172" s="76"/>
      <c r="Q172" s="76"/>
      <c r="R172" s="121" t="e">
        <f t="shared" si="4"/>
        <v>#DIV/0!</v>
      </c>
    </row>
    <row r="173" spans="1:18" x14ac:dyDescent="0.2">
      <c r="A173" s="55">
        <v>244365</v>
      </c>
      <c r="B173" s="48"/>
      <c r="C173" s="47" t="s">
        <v>482</v>
      </c>
      <c r="D173" s="48"/>
      <c r="E173" s="47"/>
      <c r="F173" s="48"/>
      <c r="G173" s="47"/>
      <c r="H173" s="47"/>
      <c r="I173" s="91">
        <v>29</v>
      </c>
      <c r="J173" s="66" t="s">
        <v>483</v>
      </c>
      <c r="K173" s="67"/>
      <c r="L173" s="66">
        <v>2.9</v>
      </c>
      <c r="M173" s="69"/>
      <c r="N173" s="78"/>
      <c r="O173" s="78"/>
      <c r="P173" s="76"/>
      <c r="Q173" s="76"/>
      <c r="R173" s="121" t="e">
        <f t="shared" si="4"/>
        <v>#DIV/0!</v>
      </c>
    </row>
    <row r="174" spans="1:18" x14ac:dyDescent="0.2">
      <c r="A174" s="55">
        <v>244365</v>
      </c>
      <c r="B174" s="48"/>
      <c r="C174" s="47" t="s">
        <v>484</v>
      </c>
      <c r="D174" s="48"/>
      <c r="E174" s="47"/>
      <c r="F174" s="48"/>
      <c r="G174" s="47"/>
      <c r="H174" s="47"/>
      <c r="I174" s="91">
        <v>261</v>
      </c>
      <c r="J174" s="66" t="s">
        <v>381</v>
      </c>
      <c r="K174" s="67"/>
      <c r="L174" s="66">
        <v>87</v>
      </c>
      <c r="M174" s="69"/>
      <c r="N174" s="78"/>
      <c r="O174" s="78"/>
      <c r="P174" s="76"/>
      <c r="Q174" s="76"/>
      <c r="R174" s="121" t="e">
        <f t="shared" si="4"/>
        <v>#DIV/0!</v>
      </c>
    </row>
    <row r="175" spans="1:18" s="73" customFormat="1" ht="33" x14ac:dyDescent="0.2">
      <c r="A175" s="100">
        <v>244365</v>
      </c>
      <c r="B175" s="72"/>
      <c r="C175" s="75" t="s">
        <v>485</v>
      </c>
      <c r="D175" s="122">
        <v>2</v>
      </c>
      <c r="E175" s="41" t="s">
        <v>22</v>
      </c>
      <c r="F175" s="57" t="s">
        <v>791</v>
      </c>
      <c r="G175" s="41" t="s">
        <v>659</v>
      </c>
      <c r="H175" s="59" t="s">
        <v>240</v>
      </c>
      <c r="I175" s="101">
        <v>68</v>
      </c>
      <c r="J175" s="80">
        <v>2</v>
      </c>
      <c r="K175" s="99" t="s">
        <v>50</v>
      </c>
      <c r="L175" s="80">
        <v>6.8</v>
      </c>
      <c r="M175" s="78">
        <v>100</v>
      </c>
      <c r="N175" s="78" t="s">
        <v>58</v>
      </c>
      <c r="O175" s="78"/>
      <c r="P175" s="76">
        <v>1</v>
      </c>
      <c r="Q175" s="76" t="s">
        <v>58</v>
      </c>
      <c r="R175" s="121">
        <f t="shared" si="4"/>
        <v>0</v>
      </c>
    </row>
    <row r="176" spans="1:18" x14ac:dyDescent="0.2">
      <c r="A176" s="55">
        <v>244365</v>
      </c>
      <c r="B176" s="48"/>
      <c r="C176" s="47" t="s">
        <v>487</v>
      </c>
      <c r="D176" s="48">
        <v>2</v>
      </c>
      <c r="E176" s="47"/>
      <c r="F176" s="48"/>
      <c r="G176" s="47"/>
      <c r="H176" s="47"/>
      <c r="I176" s="91">
        <v>53</v>
      </c>
      <c r="J176" s="66">
        <v>10</v>
      </c>
      <c r="K176" s="67" t="s">
        <v>57</v>
      </c>
      <c r="L176" s="66">
        <v>26.5</v>
      </c>
      <c r="M176" s="69">
        <v>100</v>
      </c>
      <c r="N176" s="78" t="s">
        <v>58</v>
      </c>
      <c r="O176" s="78">
        <v>26.5</v>
      </c>
      <c r="P176" s="76">
        <v>1</v>
      </c>
      <c r="Q176" s="76"/>
      <c r="R176" s="121">
        <f t="shared" si="4"/>
        <v>0.26500000000000001</v>
      </c>
    </row>
    <row r="177" spans="1:18" x14ac:dyDescent="0.2">
      <c r="A177" s="55">
        <v>244365</v>
      </c>
      <c r="B177" s="48"/>
      <c r="C177" s="47" t="s">
        <v>488</v>
      </c>
      <c r="D177" s="48"/>
      <c r="E177" s="47"/>
      <c r="F177" s="48" t="s">
        <v>749</v>
      </c>
      <c r="G177" s="47"/>
      <c r="H177" s="47"/>
      <c r="I177" s="91">
        <v>400</v>
      </c>
      <c r="J177" s="66">
        <v>2</v>
      </c>
      <c r="K177" s="67" t="s">
        <v>54</v>
      </c>
      <c r="L177" s="66">
        <v>40</v>
      </c>
      <c r="M177" s="69"/>
      <c r="N177" s="78"/>
      <c r="O177" s="78"/>
      <c r="P177" s="76"/>
      <c r="Q177" s="76"/>
      <c r="R177" s="121" t="e">
        <f t="shared" si="4"/>
        <v>#DIV/0!</v>
      </c>
    </row>
    <row r="178" spans="1:18" x14ac:dyDescent="0.2">
      <c r="A178" s="55">
        <v>244365</v>
      </c>
      <c r="B178" s="48"/>
      <c r="C178" s="47" t="s">
        <v>489</v>
      </c>
      <c r="D178" s="48"/>
      <c r="E178" s="47" t="s">
        <v>767</v>
      </c>
      <c r="F178" s="48">
        <v>120</v>
      </c>
      <c r="G178" s="47" t="s">
        <v>489</v>
      </c>
      <c r="H178" s="47"/>
      <c r="I178" s="94">
        <v>1210</v>
      </c>
      <c r="J178" s="66">
        <v>2</v>
      </c>
      <c r="K178" s="67" t="s">
        <v>54</v>
      </c>
      <c r="L178" s="66">
        <v>605</v>
      </c>
      <c r="M178" s="69">
        <v>1</v>
      </c>
      <c r="N178" s="78" t="s">
        <v>54</v>
      </c>
      <c r="O178" s="78">
        <v>605</v>
      </c>
      <c r="P178" s="76">
        <v>1</v>
      </c>
      <c r="Q178" s="76" t="s">
        <v>54</v>
      </c>
      <c r="R178" s="121">
        <f t="shared" si="4"/>
        <v>605</v>
      </c>
    </row>
    <row r="179" spans="1:18" x14ac:dyDescent="0.2">
      <c r="A179" s="55">
        <v>244365</v>
      </c>
      <c r="B179" s="48"/>
      <c r="C179" s="47" t="s">
        <v>490</v>
      </c>
      <c r="D179" s="48"/>
      <c r="E179" s="47"/>
      <c r="F179" s="48"/>
      <c r="G179" s="47"/>
      <c r="H179" s="47"/>
      <c r="I179" s="91">
        <v>310</v>
      </c>
      <c r="J179" s="66" t="s">
        <v>491</v>
      </c>
      <c r="K179" s="67"/>
      <c r="L179" s="66">
        <v>155</v>
      </c>
      <c r="M179" s="69"/>
      <c r="N179" s="78"/>
      <c r="O179" s="78"/>
      <c r="P179" s="76"/>
      <c r="Q179" s="76"/>
      <c r="R179" s="121" t="e">
        <f t="shared" si="4"/>
        <v>#DIV/0!</v>
      </c>
    </row>
    <row r="180" spans="1:18" x14ac:dyDescent="0.2">
      <c r="A180" s="55">
        <v>244365</v>
      </c>
      <c r="B180" s="48"/>
      <c r="C180" s="47" t="s">
        <v>492</v>
      </c>
      <c r="D180" s="48"/>
      <c r="E180" s="47"/>
      <c r="F180" s="48"/>
      <c r="G180" s="47"/>
      <c r="H180" s="47"/>
      <c r="I180" s="91">
        <v>245</v>
      </c>
      <c r="J180" s="66" t="s">
        <v>493</v>
      </c>
      <c r="K180" s="67"/>
      <c r="L180" s="66">
        <v>49</v>
      </c>
      <c r="M180" s="69"/>
      <c r="N180" s="78"/>
      <c r="O180" s="78"/>
      <c r="P180" s="76"/>
      <c r="Q180" s="76"/>
      <c r="R180" s="121" t="e">
        <f t="shared" ref="R180:R243" si="5">O180/M180</f>
        <v>#DIV/0!</v>
      </c>
    </row>
    <row r="181" spans="1:18" x14ac:dyDescent="0.2">
      <c r="A181" s="55">
        <v>244365</v>
      </c>
      <c r="B181" s="48"/>
      <c r="C181" s="47" t="s">
        <v>494</v>
      </c>
      <c r="D181" s="48"/>
      <c r="E181" s="47"/>
      <c r="F181" s="48"/>
      <c r="G181" s="47"/>
      <c r="H181" s="47"/>
      <c r="I181" s="91">
        <v>142</v>
      </c>
      <c r="J181" s="66">
        <v>12</v>
      </c>
      <c r="K181" s="67" t="s">
        <v>54</v>
      </c>
      <c r="L181" s="66">
        <v>71</v>
      </c>
      <c r="M181" s="69">
        <v>1</v>
      </c>
      <c r="N181" s="78" t="s">
        <v>54</v>
      </c>
      <c r="O181" s="78">
        <v>71</v>
      </c>
      <c r="P181" s="76">
        <v>1</v>
      </c>
      <c r="Q181" s="76" t="s">
        <v>54</v>
      </c>
      <c r="R181" s="121">
        <f t="shared" si="5"/>
        <v>71</v>
      </c>
    </row>
    <row r="182" spans="1:18" ht="66" x14ac:dyDescent="0.2">
      <c r="A182" s="100">
        <v>244365</v>
      </c>
      <c r="B182" s="48"/>
      <c r="C182" s="75" t="s">
        <v>495</v>
      </c>
      <c r="D182" s="72">
        <v>1</v>
      </c>
      <c r="E182" s="75" t="s">
        <v>52</v>
      </c>
      <c r="F182" s="98" t="s">
        <v>543</v>
      </c>
      <c r="G182" s="65" t="s">
        <v>53</v>
      </c>
      <c r="H182" s="59" t="s">
        <v>656</v>
      </c>
      <c r="I182" s="101">
        <v>396</v>
      </c>
      <c r="J182" s="80">
        <v>3</v>
      </c>
      <c r="K182" s="99" t="s">
        <v>54</v>
      </c>
      <c r="L182" s="80">
        <v>33</v>
      </c>
      <c r="M182" s="78">
        <v>1</v>
      </c>
      <c r="N182" s="78" t="s">
        <v>54</v>
      </c>
      <c r="O182" s="78">
        <v>33</v>
      </c>
      <c r="P182" s="76">
        <v>1</v>
      </c>
      <c r="Q182" s="76" t="s">
        <v>54</v>
      </c>
      <c r="R182" s="121">
        <f t="shared" si="5"/>
        <v>33</v>
      </c>
    </row>
    <row r="183" spans="1:18" x14ac:dyDescent="0.2">
      <c r="A183" s="55">
        <v>244365</v>
      </c>
      <c r="B183" s="48"/>
      <c r="C183" s="47" t="s">
        <v>420</v>
      </c>
      <c r="D183" s="48" t="s">
        <v>653</v>
      </c>
      <c r="E183" s="47" t="s">
        <v>720</v>
      </c>
      <c r="F183" s="48" t="s">
        <v>721</v>
      </c>
      <c r="G183" s="47" t="s">
        <v>420</v>
      </c>
      <c r="H183" s="47"/>
      <c r="I183" s="91">
        <v>390</v>
      </c>
      <c r="J183" s="66" t="s">
        <v>273</v>
      </c>
      <c r="K183" s="67"/>
      <c r="L183" s="66">
        <v>19.5</v>
      </c>
      <c r="M183" s="69"/>
      <c r="N183" s="78"/>
      <c r="O183" s="78"/>
      <c r="P183" s="76"/>
      <c r="Q183" s="76"/>
      <c r="R183" s="121" t="e">
        <f t="shared" si="5"/>
        <v>#DIV/0!</v>
      </c>
    </row>
    <row r="184" spans="1:18" ht="33" x14ac:dyDescent="0.2">
      <c r="A184" s="55">
        <v>244365</v>
      </c>
      <c r="B184" s="48"/>
      <c r="C184" s="47" t="s">
        <v>497</v>
      </c>
      <c r="D184" s="48">
        <v>4</v>
      </c>
      <c r="E184" s="41" t="s">
        <v>664</v>
      </c>
      <c r="F184" s="57">
        <v>240</v>
      </c>
      <c r="G184" s="41" t="s">
        <v>665</v>
      </c>
      <c r="H184" s="59" t="s">
        <v>241</v>
      </c>
      <c r="I184" s="91">
        <v>72</v>
      </c>
      <c r="J184" s="66" t="s">
        <v>273</v>
      </c>
      <c r="K184" s="67"/>
      <c r="L184" s="66">
        <v>24</v>
      </c>
      <c r="M184" s="69"/>
      <c r="N184" s="78"/>
      <c r="O184" s="78"/>
      <c r="P184" s="76"/>
      <c r="Q184" s="76"/>
      <c r="R184" s="121" t="e">
        <f t="shared" si="5"/>
        <v>#DIV/0!</v>
      </c>
    </row>
    <row r="185" spans="1:18" x14ac:dyDescent="0.2">
      <c r="A185" s="55">
        <v>244365</v>
      </c>
      <c r="B185" s="48"/>
      <c r="C185" s="47" t="s">
        <v>498</v>
      </c>
      <c r="D185" s="48" t="s">
        <v>653</v>
      </c>
      <c r="E185" s="47" t="s">
        <v>498</v>
      </c>
      <c r="F185" s="48"/>
      <c r="G185" s="47"/>
      <c r="H185" s="47"/>
      <c r="I185" s="91">
        <v>90</v>
      </c>
      <c r="J185" s="66" t="s">
        <v>256</v>
      </c>
      <c r="K185" s="67" t="s">
        <v>54</v>
      </c>
      <c r="L185" s="66">
        <v>30</v>
      </c>
      <c r="M185" s="69"/>
      <c r="N185" s="78"/>
      <c r="O185" s="78"/>
      <c r="P185" s="76"/>
      <c r="Q185" s="76"/>
      <c r="R185" s="121" t="e">
        <f t="shared" si="5"/>
        <v>#DIV/0!</v>
      </c>
    </row>
    <row r="186" spans="1:18" x14ac:dyDescent="0.2">
      <c r="A186" s="55">
        <v>244365</v>
      </c>
      <c r="B186" s="48"/>
      <c r="C186" s="47" t="s">
        <v>499</v>
      </c>
      <c r="D186" s="48" t="s">
        <v>653</v>
      </c>
      <c r="E186" s="47" t="s">
        <v>499</v>
      </c>
      <c r="F186" s="48"/>
      <c r="G186" s="47"/>
      <c r="H186" s="47"/>
      <c r="I186" s="91">
        <v>90</v>
      </c>
      <c r="J186" s="66" t="s">
        <v>500</v>
      </c>
      <c r="K186" s="67"/>
      <c r="L186" s="66">
        <v>30</v>
      </c>
      <c r="M186" s="69"/>
      <c r="N186" s="78"/>
      <c r="O186" s="78"/>
      <c r="P186" s="76"/>
      <c r="Q186" s="76"/>
      <c r="R186" s="121" t="e">
        <f t="shared" si="5"/>
        <v>#DIV/0!</v>
      </c>
    </row>
    <row r="187" spans="1:18" x14ac:dyDescent="0.2">
      <c r="A187" s="55">
        <v>244365</v>
      </c>
      <c r="B187" s="48"/>
      <c r="C187" s="47" t="s">
        <v>501</v>
      </c>
      <c r="D187" s="48" t="s">
        <v>653</v>
      </c>
      <c r="E187" s="47" t="s">
        <v>501</v>
      </c>
      <c r="F187" s="48"/>
      <c r="G187" s="47"/>
      <c r="H187" s="47"/>
      <c r="I187" s="91">
        <v>225</v>
      </c>
      <c r="J187" s="66" t="s">
        <v>502</v>
      </c>
      <c r="K187" s="67"/>
      <c r="L187" s="66">
        <v>9</v>
      </c>
      <c r="M187" s="69"/>
      <c r="N187" s="78"/>
      <c r="O187" s="78"/>
      <c r="P187" s="76"/>
      <c r="Q187" s="76"/>
      <c r="R187" s="121" t="e">
        <f t="shared" si="5"/>
        <v>#DIV/0!</v>
      </c>
    </row>
    <row r="188" spans="1:18" x14ac:dyDescent="0.2">
      <c r="A188" s="55">
        <v>244365</v>
      </c>
      <c r="B188" s="48"/>
      <c r="C188" s="47" t="s">
        <v>255</v>
      </c>
      <c r="D188" s="48" t="s">
        <v>653</v>
      </c>
      <c r="E188" s="47" t="s">
        <v>255</v>
      </c>
      <c r="F188" s="48"/>
      <c r="G188" s="47"/>
      <c r="H188" s="47"/>
      <c r="I188" s="91">
        <v>336</v>
      </c>
      <c r="J188" s="66" t="s">
        <v>266</v>
      </c>
      <c r="K188" s="67"/>
      <c r="L188" s="66">
        <v>16.8</v>
      </c>
      <c r="M188" s="69"/>
      <c r="N188" s="78"/>
      <c r="O188" s="78"/>
      <c r="P188" s="76"/>
      <c r="Q188" s="76"/>
      <c r="R188" s="121" t="e">
        <f t="shared" si="5"/>
        <v>#DIV/0!</v>
      </c>
    </row>
    <row r="189" spans="1:18" x14ac:dyDescent="0.2">
      <c r="A189" s="55">
        <v>244365</v>
      </c>
      <c r="B189" s="48"/>
      <c r="C189" s="47" t="s">
        <v>503</v>
      </c>
      <c r="D189" s="48" t="s">
        <v>653</v>
      </c>
      <c r="E189" s="47" t="s">
        <v>503</v>
      </c>
      <c r="F189" s="48"/>
      <c r="G189" s="47"/>
      <c r="H189" s="47"/>
      <c r="I189" s="91">
        <v>32</v>
      </c>
      <c r="J189" s="66">
        <v>1</v>
      </c>
      <c r="K189" s="67"/>
      <c r="L189" s="66">
        <v>32</v>
      </c>
      <c r="M189" s="69"/>
      <c r="N189" s="78"/>
      <c r="O189" s="78"/>
      <c r="P189" s="76"/>
      <c r="Q189" s="76"/>
      <c r="R189" s="121" t="e">
        <f t="shared" si="5"/>
        <v>#DIV/0!</v>
      </c>
    </row>
    <row r="190" spans="1:18" x14ac:dyDescent="0.2">
      <c r="A190" s="55">
        <v>244365</v>
      </c>
      <c r="B190" s="48"/>
      <c r="C190" s="47" t="s">
        <v>504</v>
      </c>
      <c r="D190" s="48"/>
      <c r="E190" s="47"/>
      <c r="F190" s="48" t="s">
        <v>708</v>
      </c>
      <c r="G190" s="47"/>
      <c r="H190" s="47"/>
      <c r="I190" s="91">
        <v>25</v>
      </c>
      <c r="J190" s="66">
        <v>10</v>
      </c>
      <c r="K190" s="67" t="s">
        <v>57</v>
      </c>
      <c r="L190" s="66">
        <v>2.5</v>
      </c>
      <c r="M190" s="69">
        <v>10</v>
      </c>
      <c r="N190" s="78" t="s">
        <v>58</v>
      </c>
      <c r="O190" s="78">
        <v>2.5</v>
      </c>
      <c r="P190" s="76">
        <v>1</v>
      </c>
      <c r="Q190" s="76" t="s">
        <v>58</v>
      </c>
      <c r="R190" s="121">
        <f t="shared" si="5"/>
        <v>0.25</v>
      </c>
    </row>
    <row r="191" spans="1:18" ht="28.5" x14ac:dyDescent="0.2">
      <c r="A191" s="54">
        <v>244379</v>
      </c>
      <c r="B191" s="122" t="s">
        <v>821</v>
      </c>
      <c r="C191" s="47" t="s">
        <v>505</v>
      </c>
      <c r="D191" s="96">
        <v>2</v>
      </c>
      <c r="E191" s="95" t="s">
        <v>660</v>
      </c>
      <c r="F191" s="96" t="s">
        <v>528</v>
      </c>
      <c r="G191" s="95" t="s">
        <v>722</v>
      </c>
      <c r="H191" s="62" t="s">
        <v>662</v>
      </c>
      <c r="I191" s="97">
        <v>194</v>
      </c>
      <c r="J191" s="66">
        <v>2</v>
      </c>
      <c r="K191" s="67" t="s">
        <v>50</v>
      </c>
      <c r="L191" s="66">
        <v>97</v>
      </c>
      <c r="M191" s="69">
        <v>100</v>
      </c>
      <c r="N191" s="78" t="s">
        <v>58</v>
      </c>
      <c r="O191" s="78">
        <v>97</v>
      </c>
      <c r="P191" s="76">
        <v>1</v>
      </c>
      <c r="Q191" s="76" t="s">
        <v>58</v>
      </c>
      <c r="R191" s="121">
        <f t="shared" si="5"/>
        <v>0.97</v>
      </c>
    </row>
    <row r="192" spans="1:18" ht="28.5" x14ac:dyDescent="0.2">
      <c r="A192" s="54">
        <v>244379</v>
      </c>
      <c r="B192" s="122" t="s">
        <v>821</v>
      </c>
      <c r="C192" s="47" t="s">
        <v>506</v>
      </c>
      <c r="D192" s="96">
        <v>2</v>
      </c>
      <c r="E192" s="47" t="s">
        <v>714</v>
      </c>
      <c r="F192" s="96" t="s">
        <v>793</v>
      </c>
      <c r="G192" s="95" t="s">
        <v>661</v>
      </c>
      <c r="H192" s="62" t="s">
        <v>662</v>
      </c>
      <c r="I192" s="89">
        <v>168</v>
      </c>
      <c r="J192" s="66">
        <v>3</v>
      </c>
      <c r="K192" s="67" t="s">
        <v>50</v>
      </c>
      <c r="L192" s="66">
        <v>56</v>
      </c>
      <c r="M192" s="69">
        <v>100</v>
      </c>
      <c r="N192" s="78" t="s">
        <v>58</v>
      </c>
      <c r="O192" s="78">
        <v>56</v>
      </c>
      <c r="P192" s="76">
        <v>1</v>
      </c>
      <c r="Q192" s="76" t="s">
        <v>58</v>
      </c>
      <c r="R192" s="121">
        <f t="shared" si="5"/>
        <v>0.56000000000000005</v>
      </c>
    </row>
    <row r="193" spans="1:18" x14ac:dyDescent="0.2">
      <c r="A193" s="54">
        <v>244379</v>
      </c>
      <c r="B193" s="122" t="s">
        <v>821</v>
      </c>
      <c r="C193" s="47" t="s">
        <v>508</v>
      </c>
      <c r="D193" s="48"/>
      <c r="E193" s="47"/>
      <c r="F193" s="48"/>
      <c r="G193" s="47"/>
      <c r="H193" s="47"/>
      <c r="I193" s="89">
        <v>475</v>
      </c>
      <c r="J193" s="66">
        <v>1</v>
      </c>
      <c r="K193" s="67" t="s">
        <v>86</v>
      </c>
      <c r="L193" s="66">
        <v>475</v>
      </c>
      <c r="M193" s="69">
        <v>500</v>
      </c>
      <c r="N193" s="78" t="s">
        <v>58</v>
      </c>
      <c r="O193" s="78">
        <v>475</v>
      </c>
      <c r="P193" s="76">
        <v>1</v>
      </c>
      <c r="Q193" s="76" t="s">
        <v>58</v>
      </c>
      <c r="R193" s="121">
        <f t="shared" si="5"/>
        <v>0.95</v>
      </c>
    </row>
    <row r="194" spans="1:18" x14ac:dyDescent="0.2">
      <c r="A194" s="54">
        <v>244379</v>
      </c>
      <c r="B194" s="122" t="s">
        <v>821</v>
      </c>
      <c r="C194" s="47" t="s">
        <v>510</v>
      </c>
      <c r="D194" s="48"/>
      <c r="E194" s="47"/>
      <c r="F194" s="48"/>
      <c r="G194" s="47"/>
      <c r="H194" s="47"/>
      <c r="I194" s="89">
        <v>501</v>
      </c>
      <c r="J194" s="66">
        <v>3</v>
      </c>
      <c r="K194" s="67" t="s">
        <v>50</v>
      </c>
      <c r="L194" s="66">
        <v>167</v>
      </c>
      <c r="M194" s="69">
        <v>30</v>
      </c>
      <c r="N194" s="78" t="s">
        <v>58</v>
      </c>
      <c r="O194" s="78">
        <v>167</v>
      </c>
      <c r="P194" s="76">
        <v>1</v>
      </c>
      <c r="Q194" s="76" t="s">
        <v>58</v>
      </c>
      <c r="R194" s="121">
        <f t="shared" si="5"/>
        <v>5.5666666666666664</v>
      </c>
    </row>
    <row r="195" spans="1:18" x14ac:dyDescent="0.2">
      <c r="A195" s="54">
        <v>244379</v>
      </c>
      <c r="B195" s="122" t="s">
        <v>821</v>
      </c>
      <c r="C195" s="47" t="s">
        <v>512</v>
      </c>
      <c r="D195" s="48">
        <v>12</v>
      </c>
      <c r="E195" s="47" t="s">
        <v>713</v>
      </c>
      <c r="F195" s="48"/>
      <c r="G195" s="47"/>
      <c r="H195" s="47"/>
      <c r="I195" s="89">
        <v>144</v>
      </c>
      <c r="J195" s="66">
        <v>6</v>
      </c>
      <c r="K195" s="67" t="s">
        <v>54</v>
      </c>
      <c r="L195" s="66">
        <v>24</v>
      </c>
      <c r="M195" s="69">
        <v>1</v>
      </c>
      <c r="N195" s="78" t="s">
        <v>54</v>
      </c>
      <c r="O195" s="78">
        <v>24</v>
      </c>
      <c r="P195" s="76">
        <v>1</v>
      </c>
      <c r="Q195" s="76" t="s">
        <v>54</v>
      </c>
      <c r="R195" s="121">
        <f t="shared" si="5"/>
        <v>24</v>
      </c>
    </row>
    <row r="196" spans="1:18" x14ac:dyDescent="0.2">
      <c r="A196" s="54">
        <v>244379</v>
      </c>
      <c r="B196" s="122" t="s">
        <v>821</v>
      </c>
      <c r="C196" s="47" t="s">
        <v>514</v>
      </c>
      <c r="D196" s="48" t="s">
        <v>653</v>
      </c>
      <c r="E196" s="47"/>
      <c r="F196" s="48"/>
      <c r="G196" s="47"/>
      <c r="H196" s="47"/>
      <c r="I196" s="89">
        <v>480</v>
      </c>
      <c r="J196" s="66">
        <v>15</v>
      </c>
      <c r="K196" s="67" t="s">
        <v>50</v>
      </c>
      <c r="L196" s="66">
        <v>32</v>
      </c>
      <c r="M196" s="69">
        <v>1</v>
      </c>
      <c r="N196" s="78" t="s">
        <v>50</v>
      </c>
      <c r="O196" s="78">
        <v>32</v>
      </c>
      <c r="P196" s="76">
        <v>1</v>
      </c>
      <c r="Q196" s="76" t="s">
        <v>50</v>
      </c>
      <c r="R196" s="121">
        <f t="shared" si="5"/>
        <v>32</v>
      </c>
    </row>
    <row r="197" spans="1:18" x14ac:dyDescent="0.2">
      <c r="A197" s="55">
        <v>244345</v>
      </c>
      <c r="B197" s="48" t="s">
        <v>625</v>
      </c>
      <c r="C197" s="47" t="s">
        <v>626</v>
      </c>
      <c r="D197" s="48"/>
      <c r="E197" s="47"/>
      <c r="F197" s="48"/>
      <c r="G197" s="47"/>
      <c r="H197" s="47"/>
      <c r="I197" s="90">
        <v>575</v>
      </c>
      <c r="J197" s="66">
        <v>1</v>
      </c>
      <c r="K197" s="67" t="s">
        <v>158</v>
      </c>
      <c r="L197" s="68">
        <v>575</v>
      </c>
      <c r="M197" s="69"/>
      <c r="N197" s="78"/>
      <c r="O197" s="78"/>
      <c r="P197" s="76"/>
      <c r="Q197" s="76"/>
      <c r="R197" s="121" t="e">
        <f t="shared" si="5"/>
        <v>#DIV/0!</v>
      </c>
    </row>
    <row r="198" spans="1:18" x14ac:dyDescent="0.2">
      <c r="A198" s="55">
        <v>244345</v>
      </c>
      <c r="B198" s="48"/>
      <c r="C198" s="47" t="s">
        <v>627</v>
      </c>
      <c r="D198" s="48"/>
      <c r="E198" s="47"/>
      <c r="F198" s="48"/>
      <c r="G198" s="47"/>
      <c r="H198" s="47"/>
      <c r="I198" s="90">
        <v>350</v>
      </c>
      <c r="J198" s="66">
        <v>1</v>
      </c>
      <c r="K198" s="67" t="s">
        <v>158</v>
      </c>
      <c r="L198" s="68">
        <v>350</v>
      </c>
      <c r="M198" s="69"/>
      <c r="N198" s="78"/>
      <c r="O198" s="78"/>
      <c r="P198" s="76"/>
      <c r="Q198" s="76"/>
      <c r="R198" s="121" t="e">
        <f t="shared" si="5"/>
        <v>#DIV/0!</v>
      </c>
    </row>
    <row r="199" spans="1:18" x14ac:dyDescent="0.2">
      <c r="A199" s="55">
        <v>244345</v>
      </c>
      <c r="B199" s="48"/>
      <c r="C199" s="47" t="s">
        <v>628</v>
      </c>
      <c r="D199" s="48"/>
      <c r="E199" s="47"/>
      <c r="F199" s="48"/>
      <c r="G199" s="47"/>
      <c r="H199" s="47"/>
      <c r="I199" s="90">
        <v>336</v>
      </c>
      <c r="J199" s="66">
        <v>20</v>
      </c>
      <c r="K199" s="67" t="s">
        <v>54</v>
      </c>
      <c r="L199" s="68">
        <v>16.8</v>
      </c>
      <c r="M199" s="69"/>
      <c r="N199" s="78"/>
      <c r="O199" s="78"/>
      <c r="P199" s="76"/>
      <c r="Q199" s="76"/>
      <c r="R199" s="121" t="e">
        <f t="shared" si="5"/>
        <v>#DIV/0!</v>
      </c>
    </row>
    <row r="200" spans="1:18" x14ac:dyDescent="0.2">
      <c r="A200" s="55">
        <v>244475</v>
      </c>
      <c r="B200" s="48" t="s">
        <v>629</v>
      </c>
      <c r="C200" s="47" t="s">
        <v>630</v>
      </c>
      <c r="D200" s="48" t="s">
        <v>707</v>
      </c>
      <c r="E200" s="47" t="s">
        <v>706</v>
      </c>
      <c r="F200" s="48" t="s">
        <v>705</v>
      </c>
      <c r="G200" s="47" t="s">
        <v>704</v>
      </c>
      <c r="H200" s="71"/>
      <c r="I200" s="90">
        <v>270</v>
      </c>
      <c r="J200" s="66">
        <v>2</v>
      </c>
      <c r="K200" s="67" t="s">
        <v>54</v>
      </c>
      <c r="L200" s="68">
        <v>135</v>
      </c>
      <c r="M200" s="69">
        <v>1</v>
      </c>
      <c r="N200" s="78" t="s">
        <v>54</v>
      </c>
      <c r="O200" s="78">
        <v>135</v>
      </c>
      <c r="P200" s="76">
        <v>1</v>
      </c>
      <c r="Q200" s="76" t="s">
        <v>54</v>
      </c>
      <c r="R200" s="121">
        <f t="shared" si="5"/>
        <v>135</v>
      </c>
    </row>
    <row r="201" spans="1:18" x14ac:dyDescent="0.2">
      <c r="A201" s="55">
        <v>244475</v>
      </c>
      <c r="B201" s="48" t="s">
        <v>629</v>
      </c>
      <c r="C201" s="47" t="s">
        <v>434</v>
      </c>
      <c r="D201" s="48">
        <v>10</v>
      </c>
      <c r="E201" s="47" t="s">
        <v>697</v>
      </c>
      <c r="F201" s="48" t="s">
        <v>699</v>
      </c>
      <c r="G201" s="47" t="s">
        <v>700</v>
      </c>
      <c r="H201" s="71"/>
      <c r="I201" s="90">
        <v>290</v>
      </c>
      <c r="J201" s="66">
        <v>1</v>
      </c>
      <c r="K201" s="67" t="s">
        <v>86</v>
      </c>
      <c r="L201" s="68">
        <v>290</v>
      </c>
      <c r="M201" s="69">
        <v>1000</v>
      </c>
      <c r="N201" s="78" t="s">
        <v>58</v>
      </c>
      <c r="O201" s="78">
        <v>290</v>
      </c>
      <c r="P201" s="76">
        <v>1</v>
      </c>
      <c r="Q201" s="76" t="s">
        <v>58</v>
      </c>
      <c r="R201" s="121">
        <f t="shared" si="5"/>
        <v>0.28999999999999998</v>
      </c>
    </row>
    <row r="202" spans="1:18" x14ac:dyDescent="0.2">
      <c r="A202" s="55">
        <v>244475</v>
      </c>
      <c r="B202" s="48" t="s">
        <v>629</v>
      </c>
      <c r="C202" s="47" t="s">
        <v>633</v>
      </c>
      <c r="D202" s="48">
        <v>10</v>
      </c>
      <c r="E202" s="47" t="s">
        <v>5</v>
      </c>
      <c r="F202" s="48" t="s">
        <v>565</v>
      </c>
      <c r="G202" s="47" t="s">
        <v>633</v>
      </c>
      <c r="H202" s="71"/>
      <c r="I202" s="90">
        <v>220</v>
      </c>
      <c r="J202" s="66">
        <v>2</v>
      </c>
      <c r="K202" s="67" t="s">
        <v>50</v>
      </c>
      <c r="L202" s="68">
        <v>110</v>
      </c>
      <c r="M202" s="69">
        <v>60</v>
      </c>
      <c r="N202" s="78" t="s">
        <v>162</v>
      </c>
      <c r="O202" s="78">
        <v>110</v>
      </c>
      <c r="P202" s="76">
        <v>1</v>
      </c>
      <c r="Q202" s="76" t="s">
        <v>162</v>
      </c>
      <c r="R202" s="121">
        <f t="shared" si="5"/>
        <v>1.8333333333333333</v>
      </c>
    </row>
    <row r="203" spans="1:18" x14ac:dyDescent="0.2">
      <c r="A203" s="55">
        <v>244475</v>
      </c>
      <c r="B203" s="48" t="s">
        <v>629</v>
      </c>
      <c r="C203" s="47" t="s">
        <v>634</v>
      </c>
      <c r="D203" s="48">
        <v>10</v>
      </c>
      <c r="E203" s="47" t="s">
        <v>5</v>
      </c>
      <c r="F203" s="48" t="s">
        <v>613</v>
      </c>
      <c r="G203" s="47" t="s">
        <v>634</v>
      </c>
      <c r="H203" s="71"/>
      <c r="I203" s="90">
        <v>220</v>
      </c>
      <c r="J203" s="66">
        <v>1</v>
      </c>
      <c r="K203" s="67" t="s">
        <v>50</v>
      </c>
      <c r="L203" s="68">
        <v>220</v>
      </c>
      <c r="M203" s="69">
        <v>60</v>
      </c>
      <c r="N203" s="78" t="s">
        <v>162</v>
      </c>
      <c r="O203" s="78">
        <v>220</v>
      </c>
      <c r="P203" s="76">
        <v>1</v>
      </c>
      <c r="Q203" s="76" t="s">
        <v>162</v>
      </c>
      <c r="R203" s="121">
        <f t="shared" si="5"/>
        <v>3.6666666666666665</v>
      </c>
    </row>
    <row r="204" spans="1:18" x14ac:dyDescent="0.2">
      <c r="A204" s="55">
        <v>244475</v>
      </c>
      <c r="B204" s="48" t="s">
        <v>629</v>
      </c>
      <c r="C204" s="47" t="s">
        <v>631</v>
      </c>
      <c r="D204" s="48">
        <v>4</v>
      </c>
      <c r="E204" s="47" t="s">
        <v>27</v>
      </c>
      <c r="F204" s="48" t="s">
        <v>695</v>
      </c>
      <c r="G204" s="47" t="s">
        <v>242</v>
      </c>
      <c r="H204" s="71"/>
      <c r="I204" s="90">
        <v>600</v>
      </c>
      <c r="J204" s="66">
        <v>4</v>
      </c>
      <c r="K204" s="67" t="s">
        <v>57</v>
      </c>
      <c r="L204" s="68">
        <v>150</v>
      </c>
      <c r="M204" s="69">
        <v>30</v>
      </c>
      <c r="N204" s="78" t="s">
        <v>58</v>
      </c>
      <c r="O204" s="78">
        <v>75</v>
      </c>
      <c r="P204" s="76">
        <v>1</v>
      </c>
      <c r="Q204" s="76" t="s">
        <v>58</v>
      </c>
      <c r="R204" s="121">
        <f t="shared" si="5"/>
        <v>2.5</v>
      </c>
    </row>
    <row r="205" spans="1:18" x14ac:dyDescent="0.2">
      <c r="A205" s="55">
        <v>244475</v>
      </c>
      <c r="B205" s="48" t="s">
        <v>629</v>
      </c>
      <c r="C205" s="47" t="s">
        <v>632</v>
      </c>
      <c r="D205" s="48">
        <v>4</v>
      </c>
      <c r="E205" s="47" t="s">
        <v>715</v>
      </c>
      <c r="F205" s="48"/>
      <c r="G205" s="47" t="s">
        <v>715</v>
      </c>
      <c r="H205" s="71"/>
      <c r="I205" s="90">
        <v>196</v>
      </c>
      <c r="J205" s="66">
        <v>7</v>
      </c>
      <c r="K205" s="67" t="s">
        <v>50</v>
      </c>
      <c r="L205" s="68">
        <v>28</v>
      </c>
      <c r="M205" s="69">
        <v>80</v>
      </c>
      <c r="N205" s="78" t="s">
        <v>58</v>
      </c>
      <c r="O205" s="78">
        <v>28</v>
      </c>
      <c r="P205" s="76">
        <v>1</v>
      </c>
      <c r="Q205" s="76" t="s">
        <v>58</v>
      </c>
      <c r="R205" s="121">
        <f t="shared" si="5"/>
        <v>0.35</v>
      </c>
    </row>
    <row r="206" spans="1:18" x14ac:dyDescent="0.2">
      <c r="A206" s="114">
        <v>244475</v>
      </c>
      <c r="B206" s="115" t="s">
        <v>629</v>
      </c>
      <c r="C206" s="117" t="s">
        <v>637</v>
      </c>
      <c r="D206" s="48">
        <v>11</v>
      </c>
      <c r="E206" s="47" t="s">
        <v>698</v>
      </c>
      <c r="F206" s="48" t="s">
        <v>708</v>
      </c>
      <c r="G206" s="47" t="s">
        <v>637</v>
      </c>
      <c r="H206" s="71" t="s">
        <v>709</v>
      </c>
      <c r="I206" s="90">
        <v>328</v>
      </c>
      <c r="J206" s="66">
        <v>1</v>
      </c>
      <c r="K206" s="67" t="s">
        <v>50</v>
      </c>
      <c r="L206" s="68">
        <v>328</v>
      </c>
      <c r="M206" s="69">
        <v>7</v>
      </c>
      <c r="N206" s="78" t="s">
        <v>58</v>
      </c>
      <c r="O206" s="78">
        <v>82</v>
      </c>
      <c r="P206" s="76">
        <v>1</v>
      </c>
      <c r="Q206" s="76" t="s">
        <v>58</v>
      </c>
      <c r="R206" s="121">
        <f t="shared" si="5"/>
        <v>11.714285714285714</v>
      </c>
    </row>
    <row r="207" spans="1:18" x14ac:dyDescent="0.2">
      <c r="A207" s="114">
        <v>244475</v>
      </c>
      <c r="B207" s="115" t="s">
        <v>629</v>
      </c>
      <c r="C207" s="117" t="s">
        <v>635</v>
      </c>
      <c r="D207" s="48" t="s">
        <v>653</v>
      </c>
      <c r="E207" s="47" t="s">
        <v>701</v>
      </c>
      <c r="F207" s="48" t="s">
        <v>702</v>
      </c>
      <c r="G207" s="47" t="s">
        <v>703</v>
      </c>
      <c r="H207" s="71"/>
      <c r="I207" s="90">
        <v>360</v>
      </c>
      <c r="J207" s="66">
        <v>3</v>
      </c>
      <c r="K207" s="67" t="s">
        <v>50</v>
      </c>
      <c r="L207" s="68">
        <v>120</v>
      </c>
      <c r="M207" s="69">
        <v>10</v>
      </c>
      <c r="N207" s="78" t="s">
        <v>51</v>
      </c>
      <c r="O207" s="78">
        <v>120</v>
      </c>
      <c r="P207" s="76">
        <v>1</v>
      </c>
      <c r="Q207" s="76" t="s">
        <v>51</v>
      </c>
      <c r="R207" s="121">
        <f t="shared" si="5"/>
        <v>12</v>
      </c>
    </row>
    <row r="208" spans="1:18" x14ac:dyDescent="0.2">
      <c r="A208" s="114">
        <v>244475</v>
      </c>
      <c r="B208" s="115" t="s">
        <v>629</v>
      </c>
      <c r="C208" s="117" t="s">
        <v>636</v>
      </c>
      <c r="D208" s="48">
        <v>5</v>
      </c>
      <c r="E208" s="47" t="s">
        <v>712</v>
      </c>
      <c r="F208" s="48" t="s">
        <v>711</v>
      </c>
      <c r="G208" s="47" t="s">
        <v>710</v>
      </c>
      <c r="H208" s="71"/>
      <c r="I208" s="90">
        <v>800</v>
      </c>
      <c r="J208" s="66">
        <v>1</v>
      </c>
      <c r="K208" s="67" t="s">
        <v>50</v>
      </c>
      <c r="L208" s="68">
        <v>800</v>
      </c>
      <c r="M208" s="69">
        <v>1000</v>
      </c>
      <c r="N208" s="78" t="s">
        <v>58</v>
      </c>
      <c r="O208" s="78">
        <v>800</v>
      </c>
      <c r="P208" s="76">
        <v>1</v>
      </c>
      <c r="Q208" s="76" t="s">
        <v>58</v>
      </c>
      <c r="R208" s="121">
        <f t="shared" si="5"/>
        <v>0.8</v>
      </c>
    </row>
    <row r="209" spans="1:18" x14ac:dyDescent="0.2">
      <c r="A209" s="114">
        <v>244475</v>
      </c>
      <c r="B209" s="115" t="s">
        <v>629</v>
      </c>
      <c r="C209" s="117" t="s">
        <v>437</v>
      </c>
      <c r="D209" s="48">
        <v>11</v>
      </c>
      <c r="E209" s="47" t="s">
        <v>696</v>
      </c>
      <c r="F209" s="48" t="s">
        <v>692</v>
      </c>
      <c r="G209" s="47" t="s">
        <v>696</v>
      </c>
      <c r="H209" s="71"/>
      <c r="I209" s="90">
        <v>700</v>
      </c>
      <c r="J209" s="66">
        <v>1</v>
      </c>
      <c r="K209" s="67" t="s">
        <v>54</v>
      </c>
      <c r="L209" s="68">
        <v>700</v>
      </c>
      <c r="M209" s="69">
        <v>1000</v>
      </c>
      <c r="N209" s="78" t="s">
        <v>58</v>
      </c>
      <c r="O209" s="78">
        <v>700</v>
      </c>
      <c r="P209" s="76">
        <v>1</v>
      </c>
      <c r="Q209" s="76" t="s">
        <v>58</v>
      </c>
      <c r="R209" s="121">
        <f t="shared" si="5"/>
        <v>0.7</v>
      </c>
    </row>
    <row r="210" spans="1:18" x14ac:dyDescent="0.2">
      <c r="A210" s="114">
        <v>244475</v>
      </c>
      <c r="B210" s="115" t="s">
        <v>625</v>
      </c>
      <c r="C210" s="117" t="s">
        <v>638</v>
      </c>
      <c r="D210" s="48">
        <v>11</v>
      </c>
      <c r="E210" s="47" t="s">
        <v>686</v>
      </c>
      <c r="F210" s="48" t="s">
        <v>688</v>
      </c>
      <c r="G210" s="47" t="s">
        <v>687</v>
      </c>
      <c r="H210" s="71"/>
      <c r="I210" s="90">
        <v>432</v>
      </c>
      <c r="J210" s="66">
        <v>3</v>
      </c>
      <c r="K210" s="67" t="s">
        <v>54</v>
      </c>
      <c r="L210" s="68">
        <v>144</v>
      </c>
      <c r="M210" s="69">
        <v>1</v>
      </c>
      <c r="N210" s="78" t="s">
        <v>50</v>
      </c>
      <c r="O210" s="78">
        <v>144</v>
      </c>
      <c r="P210" s="76">
        <v>1</v>
      </c>
      <c r="Q210" s="76" t="s">
        <v>50</v>
      </c>
      <c r="R210" s="121">
        <f t="shared" si="5"/>
        <v>144</v>
      </c>
    </row>
    <row r="211" spans="1:18" x14ac:dyDescent="0.2">
      <c r="A211" s="114">
        <v>244475</v>
      </c>
      <c r="B211" s="115" t="s">
        <v>625</v>
      </c>
      <c r="C211" s="117" t="s">
        <v>639</v>
      </c>
      <c r="D211" s="48">
        <v>1</v>
      </c>
      <c r="E211" s="47" t="s">
        <v>26</v>
      </c>
      <c r="F211" s="48" t="s">
        <v>693</v>
      </c>
      <c r="G211" s="47" t="s">
        <v>694</v>
      </c>
      <c r="H211" s="71"/>
      <c r="I211" s="90">
        <v>220</v>
      </c>
      <c r="J211" s="66">
        <v>1</v>
      </c>
      <c r="K211" s="67" t="s">
        <v>54</v>
      </c>
      <c r="L211" s="68">
        <v>220</v>
      </c>
      <c r="M211" s="69">
        <v>1000</v>
      </c>
      <c r="N211" s="78" t="s">
        <v>58</v>
      </c>
      <c r="O211" s="78">
        <v>220</v>
      </c>
      <c r="P211" s="76">
        <v>1</v>
      </c>
      <c r="Q211" s="76" t="s">
        <v>58</v>
      </c>
      <c r="R211" s="121">
        <f t="shared" si="5"/>
        <v>0.22</v>
      </c>
    </row>
    <row r="212" spans="1:18" x14ac:dyDescent="0.2">
      <c r="A212" s="114">
        <v>244475</v>
      </c>
      <c r="B212" s="115" t="s">
        <v>625</v>
      </c>
      <c r="C212" s="117" t="s">
        <v>640</v>
      </c>
      <c r="D212" s="48">
        <v>5</v>
      </c>
      <c r="E212" s="47" t="s">
        <v>689</v>
      </c>
      <c r="F212" s="48" t="s">
        <v>691</v>
      </c>
      <c r="G212" s="47" t="s">
        <v>690</v>
      </c>
      <c r="H212" s="71"/>
      <c r="I212" s="90">
        <v>416</v>
      </c>
      <c r="J212" s="66">
        <v>1</v>
      </c>
      <c r="K212" s="67" t="s">
        <v>54</v>
      </c>
      <c r="L212" s="68">
        <v>416</v>
      </c>
      <c r="M212" s="69">
        <v>500</v>
      </c>
      <c r="N212" s="78" t="s">
        <v>58</v>
      </c>
      <c r="O212" s="78">
        <v>416</v>
      </c>
      <c r="P212" s="76">
        <v>1</v>
      </c>
      <c r="Q212" s="76" t="s">
        <v>58</v>
      </c>
      <c r="R212" s="121">
        <f t="shared" si="5"/>
        <v>0.83199999999999996</v>
      </c>
    </row>
    <row r="213" spans="1:18" x14ac:dyDescent="0.2">
      <c r="A213" s="114">
        <v>244475</v>
      </c>
      <c r="B213" s="115" t="s">
        <v>625</v>
      </c>
      <c r="C213" s="117" t="s">
        <v>641</v>
      </c>
      <c r="D213" s="48">
        <v>4</v>
      </c>
      <c r="E213" s="47" t="s">
        <v>27</v>
      </c>
      <c r="F213" s="48" t="s">
        <v>695</v>
      </c>
      <c r="G213" s="47" t="s">
        <v>242</v>
      </c>
      <c r="H213" s="71"/>
      <c r="I213" s="90">
        <v>288</v>
      </c>
      <c r="J213" s="66">
        <v>1</v>
      </c>
      <c r="K213" s="67" t="s">
        <v>50</v>
      </c>
      <c r="L213" s="68">
        <v>288</v>
      </c>
      <c r="M213" s="69">
        <v>30</v>
      </c>
      <c r="N213" s="78" t="s">
        <v>58</v>
      </c>
      <c r="O213" s="78">
        <v>288</v>
      </c>
      <c r="P213" s="76">
        <v>1</v>
      </c>
      <c r="Q213" s="76" t="s">
        <v>58</v>
      </c>
      <c r="R213" s="121">
        <f t="shared" si="5"/>
        <v>9.6</v>
      </c>
    </row>
    <row r="214" spans="1:18" ht="49.5" x14ac:dyDescent="0.2">
      <c r="A214" s="114">
        <v>244475</v>
      </c>
      <c r="B214" s="115" t="s">
        <v>625</v>
      </c>
      <c r="C214" s="117" t="s">
        <v>642</v>
      </c>
      <c r="D214" s="48">
        <v>4</v>
      </c>
      <c r="E214" s="41" t="s">
        <v>666</v>
      </c>
      <c r="F214" s="57"/>
      <c r="G214" s="41" t="s">
        <v>667</v>
      </c>
      <c r="H214" s="41" t="s">
        <v>244</v>
      </c>
      <c r="I214" s="90">
        <v>59</v>
      </c>
      <c r="J214" s="66">
        <v>1</v>
      </c>
      <c r="K214" s="67" t="s">
        <v>50</v>
      </c>
      <c r="L214" s="68">
        <v>59</v>
      </c>
      <c r="M214" s="69">
        <v>10</v>
      </c>
      <c r="N214" s="78" t="s">
        <v>58</v>
      </c>
      <c r="O214" s="78">
        <v>59</v>
      </c>
      <c r="P214" s="76">
        <v>1</v>
      </c>
      <c r="Q214" s="76" t="s">
        <v>58</v>
      </c>
      <c r="R214" s="121">
        <f t="shared" si="5"/>
        <v>5.9</v>
      </c>
    </row>
    <row r="215" spans="1:18" x14ac:dyDescent="0.2">
      <c r="A215" s="114">
        <v>244475</v>
      </c>
      <c r="B215" s="115" t="s">
        <v>625</v>
      </c>
      <c r="C215" s="117" t="s">
        <v>420</v>
      </c>
      <c r="D215" s="48" t="s">
        <v>653</v>
      </c>
      <c r="E215" s="47" t="s">
        <v>684</v>
      </c>
      <c r="F215" s="48" t="s">
        <v>685</v>
      </c>
      <c r="G215" s="47" t="s">
        <v>684</v>
      </c>
      <c r="H215" s="71"/>
      <c r="I215" s="90">
        <v>585</v>
      </c>
      <c r="J215" s="66">
        <v>30</v>
      </c>
      <c r="K215" s="67" t="s">
        <v>54</v>
      </c>
      <c r="L215" s="68">
        <v>19.5</v>
      </c>
      <c r="M215" s="69">
        <v>10</v>
      </c>
      <c r="N215" s="78" t="s">
        <v>54</v>
      </c>
      <c r="O215" s="78">
        <v>195</v>
      </c>
      <c r="P215" s="76">
        <v>1</v>
      </c>
      <c r="Q215" s="76" t="s">
        <v>54</v>
      </c>
      <c r="R215" s="121">
        <f t="shared" si="5"/>
        <v>19.5</v>
      </c>
    </row>
    <row r="216" spans="1:18" x14ac:dyDescent="0.2">
      <c r="A216" s="114">
        <v>244475</v>
      </c>
      <c r="B216" s="115" t="s">
        <v>625</v>
      </c>
      <c r="C216" s="117" t="s">
        <v>643</v>
      </c>
      <c r="D216" s="48" t="s">
        <v>653</v>
      </c>
      <c r="E216" s="47" t="s">
        <v>681</v>
      </c>
      <c r="F216" s="48" t="s">
        <v>682</v>
      </c>
      <c r="G216" s="47" t="s">
        <v>683</v>
      </c>
      <c r="H216" s="71"/>
      <c r="I216" s="90">
        <v>300</v>
      </c>
      <c r="J216" s="66">
        <v>1</v>
      </c>
      <c r="K216" s="67" t="s">
        <v>50</v>
      </c>
      <c r="L216" s="68">
        <v>300</v>
      </c>
      <c r="M216" s="69">
        <v>50</v>
      </c>
      <c r="N216" s="78" t="s">
        <v>51</v>
      </c>
      <c r="O216" s="79">
        <v>300</v>
      </c>
      <c r="P216" s="76">
        <v>1</v>
      </c>
      <c r="Q216" s="76" t="s">
        <v>51</v>
      </c>
      <c r="R216" s="121">
        <f t="shared" si="5"/>
        <v>6</v>
      </c>
    </row>
    <row r="217" spans="1:18" x14ac:dyDescent="0.2">
      <c r="A217" s="114">
        <v>244494</v>
      </c>
      <c r="B217" s="115" t="s">
        <v>625</v>
      </c>
      <c r="C217" s="117" t="s">
        <v>648</v>
      </c>
      <c r="D217" s="48"/>
      <c r="E217" s="47"/>
      <c r="F217" s="48"/>
      <c r="G217" s="47"/>
      <c r="H217" s="47"/>
      <c r="I217" s="90">
        <v>40</v>
      </c>
      <c r="J217" s="66">
        <v>1</v>
      </c>
      <c r="K217" s="67" t="s">
        <v>57</v>
      </c>
      <c r="L217" s="68">
        <v>40</v>
      </c>
      <c r="M217" s="69"/>
      <c r="N217" s="78"/>
      <c r="O217" s="78"/>
      <c r="P217" s="76"/>
      <c r="Q217" s="76"/>
      <c r="R217" s="121" t="e">
        <f t="shared" si="5"/>
        <v>#DIV/0!</v>
      </c>
    </row>
    <row r="218" spans="1:18" x14ac:dyDescent="0.2">
      <c r="A218" s="114">
        <v>244494</v>
      </c>
      <c r="B218" s="115" t="s">
        <v>625</v>
      </c>
      <c r="C218" s="117" t="s">
        <v>649</v>
      </c>
      <c r="D218" s="48"/>
      <c r="E218" s="47" t="s">
        <v>652</v>
      </c>
      <c r="F218" s="48"/>
      <c r="G218" s="47"/>
      <c r="H218" s="47"/>
      <c r="I218" s="90">
        <v>390</v>
      </c>
      <c r="J218" s="66">
        <v>2</v>
      </c>
      <c r="K218" s="67" t="s">
        <v>50</v>
      </c>
      <c r="L218" s="68">
        <v>195</v>
      </c>
      <c r="M218" s="69"/>
      <c r="N218" s="78"/>
      <c r="O218" s="78"/>
      <c r="P218" s="76"/>
      <c r="Q218" s="76"/>
      <c r="R218" s="121" t="e">
        <f t="shared" si="5"/>
        <v>#DIV/0!</v>
      </c>
    </row>
    <row r="219" spans="1:18" x14ac:dyDescent="0.2">
      <c r="A219" s="114">
        <v>244494</v>
      </c>
      <c r="B219" s="115" t="s">
        <v>625</v>
      </c>
      <c r="C219" s="47" t="s">
        <v>650</v>
      </c>
      <c r="D219" s="48"/>
      <c r="E219" s="47" t="s">
        <v>651</v>
      </c>
      <c r="F219" s="48"/>
      <c r="G219" s="47"/>
      <c r="H219" s="47"/>
      <c r="I219" s="90">
        <v>200</v>
      </c>
      <c r="J219" s="66">
        <v>20</v>
      </c>
      <c r="K219" s="67" t="s">
        <v>57</v>
      </c>
      <c r="L219" s="68">
        <v>10</v>
      </c>
      <c r="M219" s="69"/>
      <c r="N219" s="78"/>
      <c r="O219" s="78"/>
      <c r="P219" s="76"/>
      <c r="Q219" s="76"/>
      <c r="R219" s="121" t="e">
        <f t="shared" si="5"/>
        <v>#DIV/0!</v>
      </c>
    </row>
    <row r="220" spans="1:18" x14ac:dyDescent="0.2">
      <c r="A220" s="114">
        <v>244494</v>
      </c>
      <c r="B220" s="115" t="s">
        <v>625</v>
      </c>
      <c r="C220" s="47" t="s">
        <v>644</v>
      </c>
      <c r="D220" s="48"/>
      <c r="E220" s="47" t="s">
        <v>173</v>
      </c>
      <c r="F220" s="48" t="s">
        <v>797</v>
      </c>
      <c r="G220" s="47" t="s">
        <v>798</v>
      </c>
      <c r="H220" s="47"/>
      <c r="I220" s="109">
        <v>120</v>
      </c>
      <c r="J220" s="66">
        <v>4</v>
      </c>
      <c r="K220" s="67" t="s">
        <v>51</v>
      </c>
      <c r="L220" s="106">
        <v>30</v>
      </c>
      <c r="M220" s="69">
        <v>1</v>
      </c>
      <c r="N220" s="78" t="s">
        <v>51</v>
      </c>
      <c r="O220" s="78">
        <v>30</v>
      </c>
      <c r="P220" s="76">
        <v>1</v>
      </c>
      <c r="Q220" s="76" t="s">
        <v>51</v>
      </c>
      <c r="R220" s="121">
        <f t="shared" si="5"/>
        <v>30</v>
      </c>
    </row>
    <row r="221" spans="1:18" x14ac:dyDescent="0.2">
      <c r="A221" s="114">
        <v>244494</v>
      </c>
      <c r="B221" s="115" t="s">
        <v>625</v>
      </c>
      <c r="C221" s="47" t="s">
        <v>645</v>
      </c>
      <c r="D221" s="48" t="s">
        <v>653</v>
      </c>
      <c r="E221" s="47"/>
      <c r="F221" s="48"/>
      <c r="G221" s="47" t="s">
        <v>645</v>
      </c>
      <c r="H221" s="47"/>
      <c r="I221" s="90">
        <v>56</v>
      </c>
      <c r="J221" s="66">
        <v>1</v>
      </c>
      <c r="K221" s="67" t="s">
        <v>158</v>
      </c>
      <c r="L221" s="68">
        <v>56</v>
      </c>
      <c r="M221" s="69">
        <v>1</v>
      </c>
      <c r="N221" s="78" t="s">
        <v>158</v>
      </c>
      <c r="O221" s="78">
        <v>56</v>
      </c>
      <c r="P221" s="76">
        <v>1</v>
      </c>
      <c r="Q221" s="76" t="s">
        <v>158</v>
      </c>
      <c r="R221" s="121">
        <f t="shared" si="5"/>
        <v>56</v>
      </c>
    </row>
    <row r="222" spans="1:18" x14ac:dyDescent="0.2">
      <c r="A222" s="114">
        <v>244494</v>
      </c>
      <c r="B222" s="115" t="s">
        <v>625</v>
      </c>
      <c r="C222" s="47" t="s">
        <v>646</v>
      </c>
      <c r="D222" s="48" t="s">
        <v>653</v>
      </c>
      <c r="E222" s="47"/>
      <c r="F222" s="48"/>
      <c r="G222" s="47" t="s">
        <v>646</v>
      </c>
      <c r="H222" s="47"/>
      <c r="I222" s="90">
        <v>134</v>
      </c>
      <c r="J222" s="66">
        <v>2</v>
      </c>
      <c r="K222" s="67" t="s">
        <v>158</v>
      </c>
      <c r="L222" s="68">
        <v>67</v>
      </c>
      <c r="M222" s="69">
        <v>1</v>
      </c>
      <c r="N222" s="78" t="s">
        <v>158</v>
      </c>
      <c r="O222" s="78">
        <v>67</v>
      </c>
      <c r="P222" s="76">
        <v>1</v>
      </c>
      <c r="Q222" s="76" t="s">
        <v>158</v>
      </c>
      <c r="R222" s="121">
        <f t="shared" si="5"/>
        <v>67</v>
      </c>
    </row>
    <row r="223" spans="1:18" x14ac:dyDescent="0.2">
      <c r="A223" s="114">
        <v>244494</v>
      </c>
      <c r="B223" s="115" t="s">
        <v>625</v>
      </c>
      <c r="C223" s="47" t="s">
        <v>647</v>
      </c>
      <c r="D223" s="48" t="s">
        <v>653</v>
      </c>
      <c r="E223" s="47"/>
      <c r="F223" s="48"/>
      <c r="G223" s="47" t="s">
        <v>647</v>
      </c>
      <c r="H223" s="47"/>
      <c r="I223" s="90">
        <v>78</v>
      </c>
      <c r="J223" s="66">
        <v>1</v>
      </c>
      <c r="K223" s="67" t="s">
        <v>158</v>
      </c>
      <c r="L223" s="68">
        <v>78</v>
      </c>
      <c r="M223" s="69">
        <v>1</v>
      </c>
      <c r="N223" s="78" t="s">
        <v>158</v>
      </c>
      <c r="O223" s="78">
        <v>78</v>
      </c>
      <c r="P223" s="76">
        <v>1</v>
      </c>
      <c r="Q223" s="76" t="s">
        <v>158</v>
      </c>
      <c r="R223" s="121">
        <f t="shared" si="5"/>
        <v>78</v>
      </c>
    </row>
    <row r="224" spans="1:18" ht="49.5" x14ac:dyDescent="0.35">
      <c r="A224" s="114">
        <v>244513</v>
      </c>
      <c r="B224" s="115" t="s">
        <v>625</v>
      </c>
      <c r="C224" s="47" t="s">
        <v>716</v>
      </c>
      <c r="D224" s="48">
        <v>2</v>
      </c>
      <c r="E224" s="47" t="s">
        <v>717</v>
      </c>
      <c r="F224" s="48" t="s">
        <v>718</v>
      </c>
      <c r="G224" s="47" t="s">
        <v>726</v>
      </c>
      <c r="H224" s="60" t="s">
        <v>668</v>
      </c>
      <c r="I224" s="90">
        <v>520</v>
      </c>
      <c r="J224" s="66">
        <v>2</v>
      </c>
      <c r="K224" s="67" t="s">
        <v>50</v>
      </c>
      <c r="L224" s="68">
        <v>260</v>
      </c>
      <c r="M224" s="69">
        <v>30</v>
      </c>
      <c r="N224" s="78" t="s">
        <v>58</v>
      </c>
      <c r="O224" s="78">
        <v>260</v>
      </c>
      <c r="P224" s="76">
        <v>1</v>
      </c>
      <c r="Q224" s="76" t="s">
        <v>58</v>
      </c>
      <c r="R224" s="121">
        <f t="shared" si="5"/>
        <v>8.6666666666666661</v>
      </c>
    </row>
    <row r="225" spans="1:18" x14ac:dyDescent="0.2">
      <c r="A225" s="114">
        <v>244513</v>
      </c>
      <c r="B225" s="115" t="s">
        <v>625</v>
      </c>
      <c r="C225" s="47" t="s">
        <v>382</v>
      </c>
      <c r="D225" s="48">
        <v>9</v>
      </c>
      <c r="E225" s="47" t="s">
        <v>173</v>
      </c>
      <c r="F225" s="48" t="s">
        <v>622</v>
      </c>
      <c r="G225" s="47" t="s">
        <v>645</v>
      </c>
      <c r="H225" s="47" t="s">
        <v>671</v>
      </c>
      <c r="I225" s="109">
        <v>105</v>
      </c>
      <c r="J225" s="66">
        <v>1</v>
      </c>
      <c r="K225" s="67" t="s">
        <v>50</v>
      </c>
      <c r="L225" s="106">
        <v>105</v>
      </c>
      <c r="M225" s="69">
        <v>25</v>
      </c>
      <c r="N225" s="78" t="s">
        <v>58</v>
      </c>
      <c r="O225" s="78">
        <v>105</v>
      </c>
      <c r="P225" s="76">
        <v>1</v>
      </c>
      <c r="Q225" s="76" t="s">
        <v>58</v>
      </c>
      <c r="R225" s="121">
        <f t="shared" si="5"/>
        <v>4.2</v>
      </c>
    </row>
    <row r="226" spans="1:18" x14ac:dyDescent="0.2">
      <c r="A226" s="114">
        <v>244513</v>
      </c>
      <c r="B226" s="115" t="s">
        <v>625</v>
      </c>
      <c r="C226" s="47" t="s">
        <v>245</v>
      </c>
      <c r="D226" s="48">
        <v>12</v>
      </c>
      <c r="E226" s="47" t="s">
        <v>679</v>
      </c>
      <c r="F226" s="48" t="s">
        <v>719</v>
      </c>
      <c r="G226" s="47" t="s">
        <v>245</v>
      </c>
      <c r="H226" s="47" t="s">
        <v>671</v>
      </c>
      <c r="I226" s="90">
        <v>140</v>
      </c>
      <c r="J226" s="66">
        <v>10</v>
      </c>
      <c r="K226" s="67" t="s">
        <v>57</v>
      </c>
      <c r="L226" s="68">
        <v>14</v>
      </c>
      <c r="M226" s="69">
        <v>10</v>
      </c>
      <c r="N226" s="78" t="s">
        <v>58</v>
      </c>
      <c r="O226" s="78">
        <v>14</v>
      </c>
      <c r="P226" s="76">
        <v>1</v>
      </c>
      <c r="Q226" s="76" t="s">
        <v>58</v>
      </c>
      <c r="R226" s="121">
        <f t="shared" si="5"/>
        <v>1.4</v>
      </c>
    </row>
    <row r="227" spans="1:18" x14ac:dyDescent="0.2">
      <c r="A227" s="114">
        <v>244459</v>
      </c>
      <c r="B227" s="115" t="s">
        <v>625</v>
      </c>
      <c r="C227" t="s">
        <v>319</v>
      </c>
      <c r="D227" s="77">
        <v>11</v>
      </c>
      <c r="E227" s="40" t="s">
        <v>723</v>
      </c>
      <c r="F227" s="48" t="s">
        <v>724</v>
      </c>
      <c r="G227" t="s">
        <v>725</v>
      </c>
      <c r="H227" s="47" t="s">
        <v>240</v>
      </c>
      <c r="I227" s="90">
        <v>165</v>
      </c>
      <c r="J227" s="66">
        <v>10</v>
      </c>
      <c r="K227" s="67" t="s">
        <v>57</v>
      </c>
      <c r="L227" s="68">
        <v>16.5</v>
      </c>
      <c r="M227" s="69">
        <v>100</v>
      </c>
      <c r="N227" s="78" t="s">
        <v>58</v>
      </c>
      <c r="O227" s="78">
        <v>165</v>
      </c>
      <c r="P227" s="76">
        <v>1</v>
      </c>
      <c r="Q227" s="76" t="s">
        <v>58</v>
      </c>
      <c r="R227" s="121">
        <f t="shared" si="5"/>
        <v>1.65</v>
      </c>
    </row>
    <row r="228" spans="1:18" x14ac:dyDescent="0.2">
      <c r="A228" s="114"/>
      <c r="B228" s="115"/>
      <c r="C228" s="47" t="s">
        <v>26</v>
      </c>
      <c r="D228" s="48"/>
      <c r="E228" s="47" t="s">
        <v>26</v>
      </c>
      <c r="F228" s="48"/>
      <c r="G228" s="47"/>
      <c r="H228" s="47"/>
      <c r="I228" s="90"/>
      <c r="J228" s="66"/>
      <c r="K228" s="67"/>
      <c r="L228" s="68"/>
      <c r="M228" s="69"/>
      <c r="N228" s="78"/>
      <c r="O228" s="78"/>
      <c r="P228" s="76"/>
      <c r="Q228" s="76"/>
      <c r="R228" s="121" t="e">
        <f t="shared" si="5"/>
        <v>#DIV/0!</v>
      </c>
    </row>
    <row r="229" spans="1:18" x14ac:dyDescent="0.2">
      <c r="A229" s="114">
        <v>244459</v>
      </c>
      <c r="B229" s="115" t="s">
        <v>625</v>
      </c>
      <c r="C229" s="47" t="s">
        <v>499</v>
      </c>
      <c r="D229" s="48" t="s">
        <v>653</v>
      </c>
      <c r="E229" s="47" t="s">
        <v>499</v>
      </c>
      <c r="F229" s="48"/>
      <c r="G229" s="47"/>
      <c r="H229" s="47"/>
      <c r="I229" s="90">
        <v>60</v>
      </c>
      <c r="J229" s="66">
        <v>2</v>
      </c>
      <c r="K229" s="67" t="s">
        <v>64</v>
      </c>
      <c r="L229" s="68">
        <v>30</v>
      </c>
      <c r="M229" s="69">
        <v>1</v>
      </c>
      <c r="N229" s="80" t="s">
        <v>64</v>
      </c>
      <c r="O229" s="78">
        <v>30</v>
      </c>
      <c r="P229" s="76">
        <v>1</v>
      </c>
      <c r="Q229" s="80" t="s">
        <v>64</v>
      </c>
      <c r="R229" s="121">
        <f t="shared" si="5"/>
        <v>30</v>
      </c>
    </row>
    <row r="230" spans="1:18" x14ac:dyDescent="0.2">
      <c r="A230" s="114">
        <v>244459</v>
      </c>
      <c r="B230" s="115" t="s">
        <v>625</v>
      </c>
      <c r="C230" s="47" t="s">
        <v>726</v>
      </c>
      <c r="D230" s="48" t="s">
        <v>653</v>
      </c>
      <c r="E230" s="47" t="s">
        <v>726</v>
      </c>
      <c r="F230" s="48"/>
      <c r="G230" s="47" t="s">
        <v>726</v>
      </c>
      <c r="H230" s="47"/>
      <c r="I230" s="90">
        <v>37</v>
      </c>
      <c r="J230" s="66">
        <v>1</v>
      </c>
      <c r="K230" s="67" t="s">
        <v>727</v>
      </c>
      <c r="L230" s="68">
        <v>37</v>
      </c>
      <c r="M230" s="69">
        <v>1</v>
      </c>
      <c r="N230" s="80" t="s">
        <v>727</v>
      </c>
      <c r="O230" s="78">
        <v>37</v>
      </c>
      <c r="P230" s="76">
        <v>1</v>
      </c>
      <c r="Q230" s="80" t="s">
        <v>727</v>
      </c>
      <c r="R230" s="121">
        <f t="shared" si="5"/>
        <v>37</v>
      </c>
    </row>
    <row r="231" spans="1:18" x14ac:dyDescent="0.2">
      <c r="A231" s="114">
        <v>244459</v>
      </c>
      <c r="B231" s="115" t="s">
        <v>625</v>
      </c>
      <c r="C231" s="47" t="s">
        <v>267</v>
      </c>
      <c r="D231" s="48" t="s">
        <v>653</v>
      </c>
      <c r="E231" s="47" t="s">
        <v>267</v>
      </c>
      <c r="F231" s="48"/>
      <c r="G231" s="47" t="s">
        <v>645</v>
      </c>
      <c r="H231" s="47"/>
      <c r="I231" s="90">
        <v>225</v>
      </c>
      <c r="J231" s="66">
        <v>25</v>
      </c>
      <c r="K231" s="67" t="s">
        <v>158</v>
      </c>
      <c r="L231" s="68">
        <v>9</v>
      </c>
      <c r="M231" s="69">
        <v>25</v>
      </c>
      <c r="N231" s="80" t="s">
        <v>158</v>
      </c>
      <c r="O231" s="78">
        <v>225</v>
      </c>
      <c r="P231" s="76">
        <v>1</v>
      </c>
      <c r="Q231" s="80" t="s">
        <v>158</v>
      </c>
      <c r="R231" s="121">
        <f t="shared" si="5"/>
        <v>9</v>
      </c>
    </row>
    <row r="232" spans="1:18" x14ac:dyDescent="0.2">
      <c r="A232" s="114"/>
      <c r="B232" s="115"/>
      <c r="C232" s="40" t="e" cm="1" vm="1">
        <f t="array" ref="C232">_xlfn._xlws.FILTER(E200:G216,E200:E216=F200:F216)</f>
        <v>#VALUE!</v>
      </c>
      <c r="D232" s="48"/>
      <c r="E232" s="47"/>
      <c r="F232" s="48"/>
      <c r="G232" s="47"/>
      <c r="H232" s="47"/>
      <c r="I232" s="90"/>
      <c r="J232" s="66"/>
      <c r="K232" s="67"/>
      <c r="L232" s="68"/>
      <c r="M232" s="69"/>
      <c r="N232" s="80"/>
      <c r="O232" s="78"/>
      <c r="P232" s="76"/>
      <c r="Q232" s="80"/>
      <c r="R232" s="121" t="e">
        <f t="shared" si="5"/>
        <v>#DIV/0!</v>
      </c>
    </row>
    <row r="233" spans="1:18" x14ac:dyDescent="0.2">
      <c r="A233" s="114">
        <v>244459</v>
      </c>
      <c r="B233" s="115" t="s">
        <v>625</v>
      </c>
      <c r="C233" s="82" t="s">
        <v>739</v>
      </c>
      <c r="D233" s="48">
        <v>3</v>
      </c>
      <c r="E233" s="47" t="s">
        <v>740</v>
      </c>
      <c r="F233" s="48" t="s">
        <v>741</v>
      </c>
      <c r="G233" s="82" t="s">
        <v>728</v>
      </c>
      <c r="H233" s="47"/>
      <c r="I233" s="90">
        <v>118</v>
      </c>
      <c r="J233" s="66">
        <v>20</v>
      </c>
      <c r="K233" s="67" t="s">
        <v>57</v>
      </c>
      <c r="L233" s="68">
        <v>5.9</v>
      </c>
      <c r="M233" s="69">
        <v>200</v>
      </c>
      <c r="N233" s="80" t="s">
        <v>58</v>
      </c>
      <c r="O233" s="78">
        <v>118</v>
      </c>
      <c r="P233" s="76">
        <v>1</v>
      </c>
      <c r="Q233" s="80" t="s">
        <v>58</v>
      </c>
      <c r="R233" s="121">
        <f t="shared" si="5"/>
        <v>0.59</v>
      </c>
    </row>
    <row r="234" spans="1:18" ht="33" x14ac:dyDescent="0.35">
      <c r="A234" s="114">
        <v>244459</v>
      </c>
      <c r="B234" s="115" t="s">
        <v>625</v>
      </c>
      <c r="C234" s="82" t="s">
        <v>729</v>
      </c>
      <c r="D234" s="48" t="s">
        <v>653</v>
      </c>
      <c r="E234" s="60" t="s">
        <v>243</v>
      </c>
      <c r="F234" s="58" t="s">
        <v>748</v>
      </c>
      <c r="G234" s="60" t="s">
        <v>729</v>
      </c>
      <c r="H234" s="47" t="s">
        <v>729</v>
      </c>
      <c r="I234" s="90">
        <v>47</v>
      </c>
      <c r="J234" s="66">
        <v>10</v>
      </c>
      <c r="K234" s="67" t="s">
        <v>51</v>
      </c>
      <c r="L234" s="68">
        <v>4.7</v>
      </c>
      <c r="M234" s="69">
        <v>10</v>
      </c>
      <c r="N234" s="80" t="s">
        <v>51</v>
      </c>
      <c r="O234" s="78">
        <v>4.7</v>
      </c>
      <c r="P234" s="76">
        <v>1</v>
      </c>
      <c r="Q234" s="80" t="s">
        <v>51</v>
      </c>
      <c r="R234" s="121">
        <f t="shared" si="5"/>
        <v>0.47000000000000003</v>
      </c>
    </row>
    <row r="235" spans="1:18" x14ac:dyDescent="0.2">
      <c r="A235" s="114">
        <v>244459</v>
      </c>
      <c r="B235" s="115" t="s">
        <v>625</v>
      </c>
      <c r="C235" s="82" t="s">
        <v>730</v>
      </c>
      <c r="D235" s="48">
        <v>3</v>
      </c>
      <c r="E235" s="47" t="s">
        <v>746</v>
      </c>
      <c r="F235" s="48" t="s">
        <v>742</v>
      </c>
      <c r="G235" s="47" t="s">
        <v>730</v>
      </c>
      <c r="H235" s="47"/>
      <c r="I235" s="90">
        <v>520</v>
      </c>
      <c r="J235" s="66">
        <v>2</v>
      </c>
      <c r="K235" s="67" t="s">
        <v>50</v>
      </c>
      <c r="L235" s="68">
        <v>260</v>
      </c>
      <c r="M235" s="69">
        <v>30</v>
      </c>
      <c r="N235" s="80" t="s">
        <v>58</v>
      </c>
      <c r="O235" s="78">
        <v>260</v>
      </c>
      <c r="P235" s="76">
        <v>1</v>
      </c>
      <c r="Q235" s="80" t="s">
        <v>58</v>
      </c>
      <c r="R235" s="121">
        <f t="shared" si="5"/>
        <v>8.6666666666666661</v>
      </c>
    </row>
    <row r="236" spans="1:18" ht="16.5" x14ac:dyDescent="0.35">
      <c r="A236" s="114">
        <v>244459</v>
      </c>
      <c r="B236" s="115" t="s">
        <v>625</v>
      </c>
      <c r="C236" s="82" t="s">
        <v>376</v>
      </c>
      <c r="D236" s="48">
        <v>8</v>
      </c>
      <c r="E236" s="61" t="s">
        <v>672</v>
      </c>
      <c r="F236" s="58" t="s">
        <v>751</v>
      </c>
      <c r="G236" s="61" t="s">
        <v>673</v>
      </c>
      <c r="H236" s="60" t="s">
        <v>674</v>
      </c>
      <c r="I236" s="90">
        <v>270</v>
      </c>
      <c r="J236" s="66">
        <v>12</v>
      </c>
      <c r="K236" s="67" t="s">
        <v>51</v>
      </c>
      <c r="L236" s="68">
        <v>22.5</v>
      </c>
      <c r="M236" s="69">
        <v>1</v>
      </c>
      <c r="N236" s="80" t="s">
        <v>51</v>
      </c>
      <c r="O236" s="78">
        <v>22.5</v>
      </c>
      <c r="P236" s="76">
        <v>1</v>
      </c>
      <c r="Q236" s="80" t="s">
        <v>51</v>
      </c>
      <c r="R236" s="121">
        <f t="shared" si="5"/>
        <v>22.5</v>
      </c>
    </row>
    <row r="237" spans="1:18" x14ac:dyDescent="0.2">
      <c r="A237" s="114">
        <v>244459</v>
      </c>
      <c r="B237" s="115" t="s">
        <v>625</v>
      </c>
      <c r="C237" s="82" t="s">
        <v>370</v>
      </c>
      <c r="D237" s="48" t="s">
        <v>653</v>
      </c>
      <c r="E237" s="82" t="s">
        <v>752</v>
      </c>
      <c r="F237" s="48" t="s">
        <v>753</v>
      </c>
      <c r="G237" s="82" t="s">
        <v>370</v>
      </c>
      <c r="H237" s="47"/>
      <c r="I237" s="90">
        <v>80</v>
      </c>
      <c r="J237" s="66">
        <v>10</v>
      </c>
      <c r="K237" s="67" t="s">
        <v>51</v>
      </c>
      <c r="L237" s="68">
        <v>8</v>
      </c>
      <c r="M237" s="69">
        <v>1</v>
      </c>
      <c r="N237" s="80" t="s">
        <v>51</v>
      </c>
      <c r="O237" s="78">
        <v>8</v>
      </c>
      <c r="P237" s="76">
        <v>1</v>
      </c>
      <c r="Q237" s="80" t="s">
        <v>51</v>
      </c>
      <c r="R237" s="121">
        <f t="shared" si="5"/>
        <v>8</v>
      </c>
    </row>
    <row r="238" spans="1:18" ht="16.5" x14ac:dyDescent="0.35">
      <c r="A238" s="114">
        <v>244459</v>
      </c>
      <c r="B238" s="115" t="s">
        <v>625</v>
      </c>
      <c r="C238" s="82" t="s">
        <v>731</v>
      </c>
      <c r="D238" s="48">
        <v>11</v>
      </c>
      <c r="E238" s="64" t="s">
        <v>723</v>
      </c>
      <c r="F238" s="48" t="s">
        <v>744</v>
      </c>
      <c r="G238" s="64" t="s">
        <v>754</v>
      </c>
      <c r="H238" s="47" t="s">
        <v>755</v>
      </c>
      <c r="I238" s="90">
        <v>165</v>
      </c>
      <c r="J238" s="66">
        <v>10</v>
      </c>
      <c r="K238" s="67" t="s">
        <v>57</v>
      </c>
      <c r="L238" s="68">
        <v>165</v>
      </c>
      <c r="M238" s="69">
        <v>10</v>
      </c>
      <c r="N238" s="80" t="s">
        <v>58</v>
      </c>
      <c r="O238" s="78">
        <v>16.5</v>
      </c>
      <c r="P238" s="76">
        <v>1</v>
      </c>
      <c r="Q238" s="80" t="s">
        <v>58</v>
      </c>
      <c r="R238" s="121">
        <f t="shared" si="5"/>
        <v>1.65</v>
      </c>
    </row>
    <row r="239" spans="1:18" x14ac:dyDescent="0.2">
      <c r="A239" s="114">
        <v>244459</v>
      </c>
      <c r="B239" s="115" t="s">
        <v>625</v>
      </c>
      <c r="C239" s="82" t="s">
        <v>732</v>
      </c>
      <c r="D239" s="48">
        <v>3</v>
      </c>
      <c r="E239" s="47" t="s">
        <v>756</v>
      </c>
      <c r="F239" s="48" t="s">
        <v>743</v>
      </c>
      <c r="G239" s="47" t="s">
        <v>732</v>
      </c>
      <c r="H239" s="47" t="s">
        <v>757</v>
      </c>
      <c r="I239" s="90">
        <v>200</v>
      </c>
      <c r="J239" s="66">
        <v>10</v>
      </c>
      <c r="K239" s="67" t="s">
        <v>57</v>
      </c>
      <c r="L239" s="68">
        <v>200</v>
      </c>
      <c r="M239" s="69">
        <v>10</v>
      </c>
      <c r="N239" s="80" t="s">
        <v>58</v>
      </c>
      <c r="O239" s="78">
        <v>20</v>
      </c>
      <c r="P239" s="76">
        <v>1</v>
      </c>
      <c r="Q239" s="80" t="s">
        <v>58</v>
      </c>
      <c r="R239" s="121">
        <f t="shared" si="5"/>
        <v>2</v>
      </c>
    </row>
    <row r="240" spans="1:18" x14ac:dyDescent="0.2">
      <c r="A240" s="114">
        <v>244459</v>
      </c>
      <c r="B240" s="115" t="s">
        <v>625</v>
      </c>
      <c r="C240" s="82" t="s">
        <v>733</v>
      </c>
      <c r="D240" s="48">
        <v>9</v>
      </c>
      <c r="E240" s="47" t="s">
        <v>747</v>
      </c>
      <c r="F240" s="48" t="s">
        <v>749</v>
      </c>
      <c r="G240" s="82" t="s">
        <v>733</v>
      </c>
      <c r="H240" s="47"/>
      <c r="I240" s="90">
        <v>108</v>
      </c>
      <c r="J240" s="66">
        <v>2</v>
      </c>
      <c r="K240" s="67" t="s">
        <v>57</v>
      </c>
      <c r="L240" s="68">
        <v>108</v>
      </c>
      <c r="M240" s="69">
        <v>10</v>
      </c>
      <c r="N240" s="80" t="s">
        <v>58</v>
      </c>
      <c r="O240" s="78">
        <v>54</v>
      </c>
      <c r="P240" s="76">
        <v>1</v>
      </c>
      <c r="Q240" s="80" t="s">
        <v>58</v>
      </c>
      <c r="R240" s="121">
        <f t="shared" si="5"/>
        <v>5.4</v>
      </c>
    </row>
    <row r="241" spans="1:18" x14ac:dyDescent="0.2">
      <c r="A241" s="114">
        <v>244459</v>
      </c>
      <c r="B241" s="115" t="s">
        <v>625</v>
      </c>
      <c r="C241" s="82" t="s">
        <v>734</v>
      </c>
      <c r="D241" s="48">
        <v>7</v>
      </c>
      <c r="E241" s="47" t="s">
        <v>556</v>
      </c>
      <c r="F241" s="48" t="s">
        <v>758</v>
      </c>
      <c r="G241" s="47" t="s">
        <v>734</v>
      </c>
      <c r="H241" s="47"/>
      <c r="I241" s="90">
        <v>54</v>
      </c>
      <c r="J241" s="66">
        <v>1</v>
      </c>
      <c r="K241" s="67" t="s">
        <v>54</v>
      </c>
      <c r="L241" s="68">
        <v>54</v>
      </c>
      <c r="M241" s="69">
        <v>1</v>
      </c>
      <c r="N241" s="80" t="s">
        <v>54</v>
      </c>
      <c r="O241" s="78">
        <v>54</v>
      </c>
      <c r="P241" s="76">
        <v>1</v>
      </c>
      <c r="Q241" s="80" t="s">
        <v>54</v>
      </c>
      <c r="R241" s="121">
        <f t="shared" si="5"/>
        <v>54</v>
      </c>
    </row>
    <row r="242" spans="1:18" x14ac:dyDescent="0.2">
      <c r="A242" s="114">
        <v>244459</v>
      </c>
      <c r="B242" s="115" t="s">
        <v>625</v>
      </c>
      <c r="C242" s="82" t="s">
        <v>405</v>
      </c>
      <c r="D242" s="48">
        <v>12</v>
      </c>
      <c r="E242" s="47" t="s">
        <v>759</v>
      </c>
      <c r="F242" s="48" t="s">
        <v>744</v>
      </c>
      <c r="G242" s="82" t="s">
        <v>405</v>
      </c>
      <c r="H242" s="47"/>
      <c r="I242" s="90">
        <v>200</v>
      </c>
      <c r="J242" s="66">
        <v>4</v>
      </c>
      <c r="K242" s="67" t="s">
        <v>57</v>
      </c>
      <c r="L242" s="68">
        <v>200</v>
      </c>
      <c r="M242" s="69">
        <v>10</v>
      </c>
      <c r="N242" s="80" t="s">
        <v>58</v>
      </c>
      <c r="O242" s="78">
        <v>50</v>
      </c>
      <c r="P242" s="76">
        <v>1</v>
      </c>
      <c r="Q242" s="80" t="s">
        <v>58</v>
      </c>
      <c r="R242" s="121">
        <f t="shared" si="5"/>
        <v>5</v>
      </c>
    </row>
    <row r="243" spans="1:18" x14ac:dyDescent="0.2">
      <c r="A243" s="114">
        <v>244459</v>
      </c>
      <c r="B243" s="115" t="s">
        <v>625</v>
      </c>
      <c r="C243" s="82" t="s">
        <v>735</v>
      </c>
      <c r="D243" s="48">
        <v>1</v>
      </c>
      <c r="E243" s="47" t="s">
        <v>579</v>
      </c>
      <c r="F243" s="48" t="s">
        <v>580</v>
      </c>
      <c r="G243" s="82" t="s">
        <v>735</v>
      </c>
      <c r="H243" s="47"/>
      <c r="I243" s="90">
        <v>60</v>
      </c>
      <c r="J243" s="66">
        <v>1</v>
      </c>
      <c r="K243" s="67" t="s">
        <v>50</v>
      </c>
      <c r="L243" s="68">
        <v>60</v>
      </c>
      <c r="M243" s="69">
        <v>10</v>
      </c>
      <c r="N243" s="80" t="s">
        <v>58</v>
      </c>
      <c r="O243" s="78">
        <v>6</v>
      </c>
      <c r="P243" s="76">
        <v>1</v>
      </c>
      <c r="Q243" s="80" t="s">
        <v>58</v>
      </c>
      <c r="R243" s="121">
        <f t="shared" si="5"/>
        <v>0.6</v>
      </c>
    </row>
    <row r="244" spans="1:18" ht="33" x14ac:dyDescent="0.35">
      <c r="A244" s="114">
        <v>244459</v>
      </c>
      <c r="B244" s="115" t="s">
        <v>625</v>
      </c>
      <c r="C244" s="116" t="s">
        <v>736</v>
      </c>
      <c r="D244" s="48">
        <v>11</v>
      </c>
      <c r="E244" s="60" t="s">
        <v>243</v>
      </c>
      <c r="F244" s="48" t="s">
        <v>745</v>
      </c>
      <c r="G244" s="60" t="s">
        <v>165</v>
      </c>
      <c r="H244" s="47"/>
      <c r="I244" s="90">
        <v>185</v>
      </c>
      <c r="J244" s="66">
        <v>1</v>
      </c>
      <c r="K244" s="67" t="s">
        <v>86</v>
      </c>
      <c r="L244" s="68">
        <v>185</v>
      </c>
      <c r="M244" s="69">
        <v>1000</v>
      </c>
      <c r="N244" s="80" t="s">
        <v>58</v>
      </c>
      <c r="O244" s="78">
        <v>185</v>
      </c>
      <c r="P244" s="76">
        <v>1</v>
      </c>
      <c r="Q244" s="80" t="s">
        <v>58</v>
      </c>
      <c r="R244" s="121">
        <f t="shared" ref="R244:R272" si="6">O244/M244</f>
        <v>0.185</v>
      </c>
    </row>
    <row r="245" spans="1:18" ht="33" x14ac:dyDescent="0.35">
      <c r="A245" s="114">
        <v>244459</v>
      </c>
      <c r="B245" s="115" t="s">
        <v>625</v>
      </c>
      <c r="C245" s="116" t="s">
        <v>737</v>
      </c>
      <c r="D245" s="48"/>
      <c r="E245" s="63" t="s">
        <v>678</v>
      </c>
      <c r="F245" s="58" t="s">
        <v>750</v>
      </c>
      <c r="G245" s="60" t="s">
        <v>238</v>
      </c>
      <c r="H245" s="60" t="s">
        <v>675</v>
      </c>
      <c r="I245" s="90">
        <v>99</v>
      </c>
      <c r="J245" s="66">
        <v>3</v>
      </c>
      <c r="K245" s="67" t="s">
        <v>54</v>
      </c>
      <c r="L245" s="68">
        <v>99</v>
      </c>
      <c r="M245" s="69">
        <v>1</v>
      </c>
      <c r="N245" s="80" t="s">
        <v>50</v>
      </c>
      <c r="O245" s="78">
        <v>33</v>
      </c>
      <c r="P245" s="76">
        <v>1</v>
      </c>
      <c r="Q245" s="80" t="s">
        <v>50</v>
      </c>
      <c r="R245" s="121">
        <f t="shared" si="6"/>
        <v>33</v>
      </c>
    </row>
    <row r="246" spans="1:18" ht="33" x14ac:dyDescent="0.35">
      <c r="A246" s="114">
        <v>244459</v>
      </c>
      <c r="B246" s="115" t="s">
        <v>625</v>
      </c>
      <c r="C246" s="116" t="s">
        <v>738</v>
      </c>
      <c r="D246" s="48"/>
      <c r="E246" s="61" t="s">
        <v>676</v>
      </c>
      <c r="F246" s="58" t="s">
        <v>760</v>
      </c>
      <c r="G246" s="61" t="s">
        <v>677</v>
      </c>
      <c r="H246" s="60" t="s">
        <v>675</v>
      </c>
      <c r="I246" s="90">
        <v>78</v>
      </c>
      <c r="J246" s="66">
        <v>3</v>
      </c>
      <c r="K246" s="67" t="s">
        <v>54</v>
      </c>
      <c r="L246" s="68">
        <v>26</v>
      </c>
      <c r="M246" s="69">
        <v>1</v>
      </c>
      <c r="N246" s="80" t="s">
        <v>54</v>
      </c>
      <c r="O246" s="78">
        <v>26</v>
      </c>
      <c r="P246" s="76">
        <v>1</v>
      </c>
      <c r="Q246" s="80" t="s">
        <v>54</v>
      </c>
      <c r="R246" s="121">
        <f t="shared" si="6"/>
        <v>26</v>
      </c>
    </row>
    <row r="247" spans="1:18" x14ac:dyDescent="0.2">
      <c r="A247" s="114"/>
      <c r="B247" s="115"/>
      <c r="C247" s="117"/>
      <c r="D247" s="48"/>
      <c r="E247" s="47"/>
      <c r="F247" s="48"/>
      <c r="G247" s="47"/>
      <c r="H247" s="47"/>
      <c r="I247" s="90"/>
      <c r="J247" s="66"/>
      <c r="K247" s="67"/>
      <c r="L247" s="68"/>
      <c r="M247" s="69"/>
      <c r="N247" s="80"/>
      <c r="O247" s="78"/>
      <c r="P247" s="76"/>
      <c r="Q247" s="80"/>
      <c r="R247" s="121" t="e">
        <f t="shared" si="6"/>
        <v>#DIV/0!</v>
      </c>
    </row>
    <row r="248" spans="1:18" x14ac:dyDescent="0.2">
      <c r="A248" s="114">
        <v>244434</v>
      </c>
      <c r="B248" s="115" t="s">
        <v>625</v>
      </c>
      <c r="C248" s="117" t="s">
        <v>645</v>
      </c>
      <c r="D248" s="48" t="s">
        <v>653</v>
      </c>
      <c r="E248" s="47"/>
      <c r="F248" s="48"/>
      <c r="G248" s="47" t="s">
        <v>645</v>
      </c>
      <c r="H248" s="47"/>
      <c r="I248" s="90">
        <v>112</v>
      </c>
      <c r="J248" s="66">
        <v>2</v>
      </c>
      <c r="K248" s="67" t="s">
        <v>727</v>
      </c>
      <c r="L248" s="68">
        <v>56</v>
      </c>
      <c r="M248" s="69">
        <v>1</v>
      </c>
      <c r="N248" s="80" t="s">
        <v>727</v>
      </c>
      <c r="O248" s="78">
        <v>56</v>
      </c>
      <c r="P248" s="76">
        <v>1</v>
      </c>
      <c r="Q248" s="80" t="s">
        <v>727</v>
      </c>
      <c r="R248" s="121">
        <f t="shared" si="6"/>
        <v>56</v>
      </c>
    </row>
    <row r="249" spans="1:18" x14ac:dyDescent="0.2">
      <c r="A249" s="114">
        <v>244434</v>
      </c>
      <c r="B249" s="115" t="s">
        <v>625</v>
      </c>
      <c r="C249" s="117" t="s">
        <v>761</v>
      </c>
      <c r="D249" s="48" t="s">
        <v>653</v>
      </c>
      <c r="E249" s="47"/>
      <c r="F249" s="48"/>
      <c r="G249" s="47" t="s">
        <v>761</v>
      </c>
      <c r="H249" s="47"/>
      <c r="I249" s="90">
        <v>6</v>
      </c>
      <c r="J249" s="66">
        <v>1</v>
      </c>
      <c r="K249" s="67" t="s">
        <v>57</v>
      </c>
      <c r="L249" s="68">
        <v>6</v>
      </c>
      <c r="M249" s="69">
        <v>8</v>
      </c>
      <c r="N249" s="80" t="s">
        <v>58</v>
      </c>
      <c r="O249" s="78">
        <v>6</v>
      </c>
      <c r="P249" s="76">
        <v>1</v>
      </c>
      <c r="Q249" s="80" t="s">
        <v>58</v>
      </c>
      <c r="R249" s="121">
        <f t="shared" si="6"/>
        <v>0.75</v>
      </c>
    </row>
    <row r="250" spans="1:18" x14ac:dyDescent="0.2">
      <c r="A250" s="114">
        <v>244434</v>
      </c>
      <c r="B250" s="115" t="s">
        <v>625</v>
      </c>
      <c r="C250" s="117" t="s">
        <v>357</v>
      </c>
      <c r="D250" s="48" t="s">
        <v>653</v>
      </c>
      <c r="E250" s="47"/>
      <c r="F250" s="48"/>
      <c r="G250" s="47" t="s">
        <v>357</v>
      </c>
      <c r="H250" s="47"/>
      <c r="I250" s="90">
        <v>114</v>
      </c>
      <c r="J250" s="66">
        <v>12</v>
      </c>
      <c r="K250" s="67" t="s">
        <v>727</v>
      </c>
      <c r="L250" s="68">
        <v>9</v>
      </c>
      <c r="M250" s="69">
        <v>12</v>
      </c>
      <c r="N250" s="80" t="s">
        <v>727</v>
      </c>
      <c r="O250" s="78">
        <v>114</v>
      </c>
      <c r="P250" s="76">
        <v>1</v>
      </c>
      <c r="Q250" s="80" t="s">
        <v>727</v>
      </c>
      <c r="R250" s="121">
        <f t="shared" si="6"/>
        <v>9.5</v>
      </c>
    </row>
    <row r="251" spans="1:18" x14ac:dyDescent="0.2">
      <c r="A251" s="114">
        <v>244434</v>
      </c>
      <c r="B251" s="115" t="s">
        <v>625</v>
      </c>
      <c r="C251" s="117" t="s">
        <v>762</v>
      </c>
      <c r="D251" s="48">
        <v>11</v>
      </c>
      <c r="E251" s="47" t="s">
        <v>766</v>
      </c>
      <c r="F251" s="48"/>
      <c r="G251" s="47" t="s">
        <v>762</v>
      </c>
      <c r="H251" s="47"/>
      <c r="I251" s="90">
        <v>660</v>
      </c>
      <c r="J251" s="66">
        <v>5</v>
      </c>
      <c r="K251" s="67" t="s">
        <v>54</v>
      </c>
      <c r="L251" s="68">
        <v>132</v>
      </c>
      <c r="M251" s="69">
        <v>1</v>
      </c>
      <c r="N251" s="80" t="s">
        <v>54</v>
      </c>
      <c r="O251" s="78">
        <v>132</v>
      </c>
      <c r="P251" s="76">
        <v>1</v>
      </c>
      <c r="Q251" s="80" t="s">
        <v>54</v>
      </c>
      <c r="R251" s="121">
        <f t="shared" si="6"/>
        <v>132</v>
      </c>
    </row>
    <row r="252" spans="1:18" x14ac:dyDescent="0.2">
      <c r="A252" s="114">
        <v>244434</v>
      </c>
      <c r="B252" s="115" t="s">
        <v>625</v>
      </c>
      <c r="C252" s="117" t="s">
        <v>763</v>
      </c>
      <c r="D252" s="48"/>
      <c r="E252" s="47" t="s">
        <v>767</v>
      </c>
      <c r="F252" s="48">
        <v>60</v>
      </c>
      <c r="G252" s="47" t="s">
        <v>763</v>
      </c>
      <c r="H252" s="47"/>
      <c r="I252" s="90">
        <v>700</v>
      </c>
      <c r="J252" s="66">
        <v>2</v>
      </c>
      <c r="K252" s="67" t="s">
        <v>54</v>
      </c>
      <c r="L252" s="68">
        <v>350</v>
      </c>
      <c r="M252" s="69">
        <v>1</v>
      </c>
      <c r="N252" s="80" t="s">
        <v>54</v>
      </c>
      <c r="O252" s="78">
        <v>350</v>
      </c>
      <c r="P252" s="76">
        <v>1</v>
      </c>
      <c r="Q252" s="80" t="s">
        <v>54</v>
      </c>
      <c r="R252" s="121">
        <f t="shared" si="6"/>
        <v>350</v>
      </c>
    </row>
    <row r="253" spans="1:18" ht="33" x14ac:dyDescent="0.35">
      <c r="A253" s="114">
        <v>244434</v>
      </c>
      <c r="B253" s="115" t="s">
        <v>625</v>
      </c>
      <c r="C253" s="117" t="s">
        <v>764</v>
      </c>
      <c r="D253" s="48"/>
      <c r="E253" s="60" t="s">
        <v>175</v>
      </c>
      <c r="F253" s="58">
        <v>1</v>
      </c>
      <c r="G253" s="60" t="s">
        <v>670</v>
      </c>
      <c r="H253" s="60" t="s">
        <v>237</v>
      </c>
      <c r="I253" s="90">
        <v>220</v>
      </c>
      <c r="J253" s="66">
        <v>10</v>
      </c>
      <c r="K253" s="67" t="s">
        <v>57</v>
      </c>
      <c r="L253" s="68">
        <v>22</v>
      </c>
      <c r="M253" s="69">
        <v>10</v>
      </c>
      <c r="N253" s="80" t="s">
        <v>58</v>
      </c>
      <c r="O253" s="78">
        <v>22</v>
      </c>
      <c r="P253" s="76">
        <v>1</v>
      </c>
      <c r="Q253" s="80" t="s">
        <v>58</v>
      </c>
      <c r="R253" s="121">
        <f t="shared" si="6"/>
        <v>2.2000000000000002</v>
      </c>
    </row>
    <row r="254" spans="1:18" x14ac:dyDescent="0.2">
      <c r="A254" s="114">
        <v>244434</v>
      </c>
      <c r="B254" s="115" t="s">
        <v>625</v>
      </c>
      <c r="C254" s="117" t="s">
        <v>765</v>
      </c>
      <c r="D254" s="48"/>
      <c r="E254" s="47" t="s">
        <v>769</v>
      </c>
      <c r="F254" s="48" t="s">
        <v>768</v>
      </c>
      <c r="G254" s="47"/>
      <c r="H254" s="47"/>
      <c r="I254" s="90">
        <v>94</v>
      </c>
      <c r="J254" s="66">
        <v>2</v>
      </c>
      <c r="K254" s="67" t="s">
        <v>50</v>
      </c>
      <c r="L254" s="68">
        <v>47</v>
      </c>
      <c r="M254" s="69">
        <v>5</v>
      </c>
      <c r="N254" s="80" t="s">
        <v>58</v>
      </c>
      <c r="O254" s="78">
        <v>47</v>
      </c>
      <c r="P254" s="76">
        <v>1</v>
      </c>
      <c r="Q254" s="80" t="s">
        <v>58</v>
      </c>
      <c r="R254" s="121">
        <f t="shared" si="6"/>
        <v>9.4</v>
      </c>
    </row>
    <row r="255" spans="1:18" x14ac:dyDescent="0.2">
      <c r="A255" s="114">
        <v>244434</v>
      </c>
      <c r="B255" s="115" t="s">
        <v>625</v>
      </c>
      <c r="C255" s="117" t="s">
        <v>484</v>
      </c>
      <c r="D255" s="48"/>
      <c r="E255" s="47"/>
      <c r="F255" s="48"/>
      <c r="G255" s="47" t="s">
        <v>484</v>
      </c>
      <c r="H255" s="47"/>
      <c r="I255" s="90">
        <v>261</v>
      </c>
      <c r="J255" s="66">
        <v>3</v>
      </c>
      <c r="K255" s="67" t="s">
        <v>50</v>
      </c>
      <c r="L255" s="68">
        <v>87</v>
      </c>
      <c r="M255" s="69">
        <v>1</v>
      </c>
      <c r="N255" s="80" t="s">
        <v>50</v>
      </c>
      <c r="O255" s="78">
        <v>87</v>
      </c>
      <c r="P255" s="76">
        <v>1</v>
      </c>
      <c r="Q255" s="80" t="s">
        <v>50</v>
      </c>
      <c r="R255" s="121">
        <f t="shared" si="6"/>
        <v>87</v>
      </c>
    </row>
    <row r="256" spans="1:18" ht="84" x14ac:dyDescent="0.2">
      <c r="A256" s="112">
        <v>244434</v>
      </c>
      <c r="B256" s="113" t="s">
        <v>625</v>
      </c>
      <c r="C256" s="118" t="s">
        <v>495</v>
      </c>
      <c r="D256" s="72">
        <v>1</v>
      </c>
      <c r="E256" s="65" t="s">
        <v>655</v>
      </c>
      <c r="F256" s="98" t="s">
        <v>543</v>
      </c>
      <c r="G256" s="65" t="s">
        <v>53</v>
      </c>
      <c r="H256" s="65" t="s">
        <v>656</v>
      </c>
      <c r="I256" s="102">
        <v>396</v>
      </c>
      <c r="J256" s="80">
        <v>12</v>
      </c>
      <c r="K256" s="99" t="s">
        <v>54</v>
      </c>
      <c r="L256" s="103">
        <v>33</v>
      </c>
      <c r="M256" s="78">
        <v>1</v>
      </c>
      <c r="N256" s="80" t="s">
        <v>54</v>
      </c>
      <c r="O256" s="78">
        <v>33</v>
      </c>
      <c r="P256" s="76">
        <v>1</v>
      </c>
      <c r="Q256" s="80" t="s">
        <v>54</v>
      </c>
      <c r="R256" s="121">
        <f t="shared" si="6"/>
        <v>33</v>
      </c>
    </row>
    <row r="257" spans="1:18" x14ac:dyDescent="0.2">
      <c r="A257" s="114">
        <v>244434</v>
      </c>
      <c r="B257" s="115" t="s">
        <v>625</v>
      </c>
      <c r="C257" s="47" t="s">
        <v>732</v>
      </c>
      <c r="D257" s="48">
        <v>3</v>
      </c>
      <c r="E257" s="47" t="s">
        <v>756</v>
      </c>
      <c r="F257" s="48" t="s">
        <v>743</v>
      </c>
      <c r="G257" s="47" t="s">
        <v>732</v>
      </c>
      <c r="H257" s="47" t="s">
        <v>757</v>
      </c>
      <c r="I257" s="90">
        <v>600</v>
      </c>
      <c r="J257" s="66">
        <v>30</v>
      </c>
      <c r="K257" s="67" t="s">
        <v>57</v>
      </c>
      <c r="L257" s="68">
        <v>600</v>
      </c>
      <c r="M257" s="69">
        <v>10</v>
      </c>
      <c r="N257" s="80" t="s">
        <v>58</v>
      </c>
      <c r="O257" s="78">
        <v>20</v>
      </c>
      <c r="P257" s="76">
        <v>1</v>
      </c>
      <c r="Q257" s="80" t="s">
        <v>58</v>
      </c>
      <c r="R257" s="121">
        <f t="shared" si="6"/>
        <v>2</v>
      </c>
    </row>
    <row r="258" spans="1:18" x14ac:dyDescent="0.2">
      <c r="A258" s="114">
        <v>244434</v>
      </c>
      <c r="B258" s="115" t="s">
        <v>625</v>
      </c>
      <c r="C258" s="47" t="s">
        <v>770</v>
      </c>
      <c r="D258" s="48" t="s">
        <v>653</v>
      </c>
      <c r="E258" s="47" t="s">
        <v>785</v>
      </c>
      <c r="F258" s="48" t="s">
        <v>782</v>
      </c>
      <c r="G258" s="47" t="s">
        <v>770</v>
      </c>
      <c r="H258" s="47"/>
      <c r="I258" s="90">
        <v>170</v>
      </c>
      <c r="J258" s="66">
        <v>2</v>
      </c>
      <c r="K258" s="67" t="s">
        <v>51</v>
      </c>
      <c r="L258" s="68">
        <v>85</v>
      </c>
      <c r="M258" s="69">
        <v>1</v>
      </c>
      <c r="N258" s="80" t="s">
        <v>51</v>
      </c>
      <c r="O258" s="78">
        <v>85</v>
      </c>
      <c r="P258" s="76">
        <v>1</v>
      </c>
      <c r="Q258" s="80" t="s">
        <v>51</v>
      </c>
      <c r="R258" s="121">
        <f t="shared" si="6"/>
        <v>85</v>
      </c>
    </row>
    <row r="259" spans="1:18" x14ac:dyDescent="0.2">
      <c r="A259" s="114">
        <v>244434</v>
      </c>
      <c r="B259" s="115" t="s">
        <v>625</v>
      </c>
      <c r="C259" s="47" t="s">
        <v>771</v>
      </c>
      <c r="D259" s="48"/>
      <c r="E259" s="47" t="s">
        <v>787</v>
      </c>
      <c r="F259" s="48" t="s">
        <v>786</v>
      </c>
      <c r="G259" s="47" t="s">
        <v>771</v>
      </c>
      <c r="H259" s="47"/>
      <c r="I259" s="90">
        <v>330</v>
      </c>
      <c r="J259" s="66">
        <v>2</v>
      </c>
      <c r="K259" s="67" t="s">
        <v>54</v>
      </c>
      <c r="L259" s="68">
        <v>165</v>
      </c>
      <c r="M259" s="69">
        <v>1</v>
      </c>
      <c r="N259" s="80" t="s">
        <v>54</v>
      </c>
      <c r="O259" s="78">
        <v>165</v>
      </c>
      <c r="P259" s="76">
        <v>1</v>
      </c>
      <c r="Q259" s="80" t="s">
        <v>54</v>
      </c>
      <c r="R259" s="121">
        <f t="shared" si="6"/>
        <v>165</v>
      </c>
    </row>
    <row r="260" spans="1:18" x14ac:dyDescent="0.2">
      <c r="A260" s="114">
        <v>244434</v>
      </c>
      <c r="B260" s="115" t="s">
        <v>625</v>
      </c>
      <c r="C260" s="47" t="s">
        <v>455</v>
      </c>
      <c r="D260" s="48"/>
      <c r="E260" s="47" t="s">
        <v>546</v>
      </c>
      <c r="F260" s="48" t="s">
        <v>783</v>
      </c>
      <c r="G260" s="47" t="s">
        <v>455</v>
      </c>
      <c r="H260" s="47"/>
      <c r="I260" s="90">
        <v>150</v>
      </c>
      <c r="J260" s="66">
        <v>10</v>
      </c>
      <c r="K260" s="67" t="s">
        <v>54</v>
      </c>
      <c r="L260" s="68">
        <v>15</v>
      </c>
      <c r="M260" s="69">
        <v>1</v>
      </c>
      <c r="N260" s="80" t="s">
        <v>54</v>
      </c>
      <c r="O260" s="78">
        <v>15</v>
      </c>
      <c r="P260" s="76">
        <v>1</v>
      </c>
      <c r="Q260" s="80" t="s">
        <v>54</v>
      </c>
      <c r="R260" s="121">
        <f t="shared" si="6"/>
        <v>15</v>
      </c>
    </row>
    <row r="261" spans="1:18" x14ac:dyDescent="0.2">
      <c r="A261" s="114">
        <v>244434</v>
      </c>
      <c r="B261" s="115" t="s">
        <v>625</v>
      </c>
      <c r="C261" s="47" t="s">
        <v>772</v>
      </c>
      <c r="D261" s="48"/>
      <c r="E261" s="47" t="s">
        <v>788</v>
      </c>
      <c r="F261" s="48" t="s">
        <v>789</v>
      </c>
      <c r="G261" s="47" t="s">
        <v>772</v>
      </c>
      <c r="H261" s="47"/>
      <c r="I261" s="90">
        <v>81</v>
      </c>
      <c r="J261" s="66">
        <v>1</v>
      </c>
      <c r="K261" s="67" t="s">
        <v>54</v>
      </c>
      <c r="L261" s="68">
        <v>81</v>
      </c>
      <c r="M261" s="69">
        <v>1</v>
      </c>
      <c r="N261" s="80" t="s">
        <v>54</v>
      </c>
      <c r="O261" s="78">
        <v>81</v>
      </c>
      <c r="P261" s="76">
        <v>1</v>
      </c>
      <c r="Q261" s="80" t="s">
        <v>54</v>
      </c>
      <c r="R261" s="121">
        <f t="shared" si="6"/>
        <v>81</v>
      </c>
    </row>
    <row r="262" spans="1:18" x14ac:dyDescent="0.2">
      <c r="A262" s="114">
        <v>244434</v>
      </c>
      <c r="B262" s="115" t="s">
        <v>625</v>
      </c>
      <c r="C262" s="47" t="s">
        <v>773</v>
      </c>
      <c r="D262" s="48" t="s">
        <v>707</v>
      </c>
      <c r="E262" s="47"/>
      <c r="F262" s="48" t="s">
        <v>784</v>
      </c>
      <c r="G262" s="47" t="s">
        <v>790</v>
      </c>
      <c r="H262" s="47"/>
      <c r="I262" s="90">
        <v>260</v>
      </c>
      <c r="J262" s="66">
        <v>2</v>
      </c>
      <c r="K262" s="67" t="s">
        <v>54</v>
      </c>
      <c r="L262" s="68">
        <v>130</v>
      </c>
      <c r="M262" s="69">
        <v>1</v>
      </c>
      <c r="N262" s="80" t="s">
        <v>54</v>
      </c>
      <c r="O262" s="78">
        <v>130</v>
      </c>
      <c r="P262" s="76">
        <v>1</v>
      </c>
      <c r="Q262" s="80" t="s">
        <v>54</v>
      </c>
      <c r="R262" s="121">
        <f t="shared" si="6"/>
        <v>130</v>
      </c>
    </row>
    <row r="263" spans="1:18" x14ac:dyDescent="0.2">
      <c r="A263" s="114">
        <v>244434</v>
      </c>
      <c r="B263" s="115" t="s">
        <v>625</v>
      </c>
      <c r="C263" s="47" t="s">
        <v>774</v>
      </c>
      <c r="D263" s="48">
        <v>1</v>
      </c>
      <c r="E263" s="47" t="s">
        <v>601</v>
      </c>
      <c r="F263" s="48"/>
      <c r="G263" s="47" t="s">
        <v>774</v>
      </c>
      <c r="H263" s="47"/>
      <c r="I263" s="90">
        <v>540</v>
      </c>
      <c r="J263" s="66">
        <v>2</v>
      </c>
      <c r="K263" s="67" t="s">
        <v>54</v>
      </c>
      <c r="L263" s="68">
        <v>270</v>
      </c>
      <c r="M263" s="69">
        <v>500</v>
      </c>
      <c r="N263" s="80" t="s">
        <v>58</v>
      </c>
      <c r="O263" s="78">
        <v>270</v>
      </c>
      <c r="P263" s="76">
        <v>1</v>
      </c>
      <c r="Q263" s="80" t="s">
        <v>58</v>
      </c>
      <c r="R263" s="121">
        <f t="shared" si="6"/>
        <v>0.54</v>
      </c>
    </row>
    <row r="264" spans="1:18" x14ac:dyDescent="0.2">
      <c r="A264" s="114">
        <v>244434</v>
      </c>
      <c r="B264" s="115" t="s">
        <v>625</v>
      </c>
      <c r="C264" s="47" t="s">
        <v>775</v>
      </c>
      <c r="D264" s="48"/>
      <c r="E264" s="47" t="s">
        <v>3</v>
      </c>
      <c r="F264" s="48"/>
      <c r="G264" s="47" t="s">
        <v>775</v>
      </c>
      <c r="H264" s="47"/>
      <c r="I264" s="90"/>
      <c r="J264" s="66"/>
      <c r="K264" s="67"/>
      <c r="L264" s="68"/>
      <c r="M264" s="69"/>
      <c r="N264" s="80"/>
      <c r="O264" s="78"/>
      <c r="P264" s="76"/>
      <c r="Q264" s="80"/>
      <c r="R264" s="121" t="e">
        <f t="shared" si="6"/>
        <v>#DIV/0!</v>
      </c>
    </row>
    <row r="265" spans="1:18" x14ac:dyDescent="0.2">
      <c r="A265" s="114">
        <v>244434</v>
      </c>
      <c r="B265" s="115" t="s">
        <v>625</v>
      </c>
      <c r="C265" s="47" t="s">
        <v>451</v>
      </c>
      <c r="D265" s="48"/>
      <c r="E265" s="47"/>
      <c r="F265" s="48"/>
      <c r="G265" s="47"/>
      <c r="H265" s="47"/>
      <c r="I265" s="90"/>
      <c r="J265" s="66"/>
      <c r="K265" s="67"/>
      <c r="L265" s="68"/>
      <c r="M265" s="69"/>
      <c r="N265" s="80"/>
      <c r="O265" s="78"/>
      <c r="P265" s="76"/>
      <c r="Q265" s="80"/>
      <c r="R265" s="121" t="e">
        <f t="shared" si="6"/>
        <v>#DIV/0!</v>
      </c>
    </row>
    <row r="266" spans="1:18" x14ac:dyDescent="0.2">
      <c r="A266" s="114">
        <v>244434</v>
      </c>
      <c r="B266" s="115" t="s">
        <v>625</v>
      </c>
      <c r="C266" s="47" t="s">
        <v>396</v>
      </c>
      <c r="D266" s="48"/>
      <c r="E266" s="47"/>
      <c r="F266" s="48"/>
      <c r="G266" s="47"/>
      <c r="H266" s="47"/>
      <c r="I266" s="90"/>
      <c r="J266" s="66"/>
      <c r="K266" s="67"/>
      <c r="L266" s="68"/>
      <c r="M266" s="69"/>
      <c r="N266" s="80"/>
      <c r="O266" s="78"/>
      <c r="P266" s="76"/>
      <c r="Q266" s="80"/>
      <c r="R266" s="121" t="e">
        <f t="shared" si="6"/>
        <v>#DIV/0!</v>
      </c>
    </row>
    <row r="267" spans="1:18" x14ac:dyDescent="0.2">
      <c r="A267" s="114">
        <v>244434</v>
      </c>
      <c r="B267" s="115" t="s">
        <v>625</v>
      </c>
      <c r="C267" s="47" t="s">
        <v>776</v>
      </c>
      <c r="D267" s="48"/>
      <c r="E267" s="47"/>
      <c r="F267" s="48"/>
      <c r="G267" s="47"/>
      <c r="H267" s="47"/>
      <c r="I267" s="90"/>
      <c r="J267" s="66"/>
      <c r="K267" s="67"/>
      <c r="L267" s="68"/>
      <c r="M267" s="69"/>
      <c r="N267" s="80"/>
      <c r="O267" s="78"/>
      <c r="P267" s="76"/>
      <c r="Q267" s="80"/>
      <c r="R267" s="121" t="e">
        <f t="shared" si="6"/>
        <v>#DIV/0!</v>
      </c>
    </row>
    <row r="268" spans="1:18" x14ac:dyDescent="0.2">
      <c r="A268" s="114">
        <v>244434</v>
      </c>
      <c r="B268" s="115" t="s">
        <v>625</v>
      </c>
      <c r="C268" s="47" t="s">
        <v>388</v>
      </c>
      <c r="D268" s="48"/>
      <c r="E268" s="47" t="s">
        <v>7</v>
      </c>
      <c r="F268" s="48"/>
      <c r="G268" s="47"/>
      <c r="H268" s="47"/>
      <c r="I268" s="90"/>
      <c r="J268" s="66"/>
      <c r="K268" s="67"/>
      <c r="L268" s="68"/>
      <c r="M268" s="69"/>
      <c r="N268" s="80"/>
      <c r="O268" s="78"/>
      <c r="P268" s="76"/>
      <c r="Q268" s="80"/>
      <c r="R268" s="121" t="e">
        <f t="shared" si="6"/>
        <v>#DIV/0!</v>
      </c>
    </row>
    <row r="269" spans="1:18" x14ac:dyDescent="0.2">
      <c r="A269" s="114">
        <v>244434</v>
      </c>
      <c r="B269" s="115" t="s">
        <v>625</v>
      </c>
      <c r="C269" s="47" t="s">
        <v>777</v>
      </c>
      <c r="D269" s="48"/>
      <c r="E269" s="47"/>
      <c r="F269" s="48"/>
      <c r="G269" s="47"/>
      <c r="H269" s="47"/>
      <c r="I269" s="90"/>
      <c r="J269" s="66"/>
      <c r="K269" s="67"/>
      <c r="L269" s="68"/>
      <c r="M269" s="69"/>
      <c r="N269" s="80"/>
      <c r="O269" s="78"/>
      <c r="P269" s="76"/>
      <c r="Q269" s="80"/>
      <c r="R269" s="121" t="e">
        <f t="shared" si="6"/>
        <v>#DIV/0!</v>
      </c>
    </row>
    <row r="270" spans="1:18" x14ac:dyDescent="0.2">
      <c r="A270" s="114">
        <v>244434</v>
      </c>
      <c r="B270" s="115" t="s">
        <v>625</v>
      </c>
      <c r="C270" s="47" t="s">
        <v>778</v>
      </c>
      <c r="D270" s="48"/>
      <c r="E270" s="47"/>
      <c r="F270" s="48"/>
      <c r="G270" s="47"/>
      <c r="H270" s="47"/>
      <c r="I270" s="90"/>
      <c r="J270" s="66"/>
      <c r="K270" s="67"/>
      <c r="L270" s="68"/>
      <c r="M270" s="69"/>
      <c r="N270" s="80"/>
      <c r="O270" s="78"/>
      <c r="P270" s="76"/>
      <c r="Q270" s="80"/>
      <c r="R270" s="121" t="e">
        <f t="shared" si="6"/>
        <v>#DIV/0!</v>
      </c>
    </row>
    <row r="271" spans="1:18" x14ac:dyDescent="0.2">
      <c r="A271" s="114">
        <v>244434</v>
      </c>
      <c r="B271" s="115" t="s">
        <v>625</v>
      </c>
      <c r="C271" s="47" t="s">
        <v>779</v>
      </c>
      <c r="D271" s="48"/>
      <c r="E271" s="47"/>
      <c r="F271" s="48"/>
      <c r="G271" s="47"/>
      <c r="H271" s="47"/>
      <c r="I271" s="90"/>
      <c r="J271" s="66"/>
      <c r="K271" s="67"/>
      <c r="L271" s="68"/>
      <c r="M271" s="69"/>
      <c r="N271" s="80"/>
      <c r="O271" s="78"/>
      <c r="P271" s="76"/>
      <c r="Q271" s="80"/>
      <c r="R271" s="121" t="e">
        <f t="shared" si="6"/>
        <v>#DIV/0!</v>
      </c>
    </row>
    <row r="272" spans="1:18" x14ac:dyDescent="0.2">
      <c r="A272" s="114">
        <v>244434</v>
      </c>
      <c r="B272" s="115" t="s">
        <v>625</v>
      </c>
      <c r="C272" s="47" t="s">
        <v>735</v>
      </c>
      <c r="D272" s="48"/>
      <c r="E272" s="47"/>
      <c r="F272" s="48"/>
      <c r="G272" s="47"/>
      <c r="H272" s="47"/>
      <c r="I272" s="90"/>
      <c r="J272" s="66"/>
      <c r="K272" s="67"/>
      <c r="L272" s="68"/>
      <c r="M272" s="69"/>
      <c r="N272" s="80"/>
      <c r="O272" s="78"/>
      <c r="P272" s="76"/>
      <c r="Q272" s="80"/>
      <c r="R272" s="121" t="e">
        <f t="shared" si="6"/>
        <v>#DIV/0!</v>
      </c>
    </row>
    <row r="273" spans="1:18" ht="16.5" x14ac:dyDescent="0.2">
      <c r="A273" s="114">
        <v>244434</v>
      </c>
      <c r="B273" s="115" t="s">
        <v>625</v>
      </c>
      <c r="C273" s="47" t="s">
        <v>421</v>
      </c>
      <c r="D273" s="48"/>
      <c r="E273" s="41" t="s">
        <v>143</v>
      </c>
      <c r="F273" s="57">
        <v>80</v>
      </c>
      <c r="G273" s="41" t="s">
        <v>657</v>
      </c>
      <c r="H273" s="59" t="s">
        <v>658</v>
      </c>
      <c r="I273" s="90"/>
      <c r="J273" s="66"/>
      <c r="K273" s="67"/>
      <c r="L273" s="68"/>
      <c r="M273" s="69"/>
      <c r="N273" s="80"/>
      <c r="O273" s="78"/>
      <c r="P273" s="76"/>
      <c r="Q273" s="80"/>
      <c r="R273" s="121" t="e">
        <f>O273/M273</f>
        <v>#DIV/0!</v>
      </c>
    </row>
    <row r="274" spans="1:18" x14ac:dyDescent="0.2">
      <c r="A274" s="114">
        <v>244434</v>
      </c>
      <c r="B274" s="115" t="s">
        <v>625</v>
      </c>
      <c r="C274" s="47" t="s">
        <v>780</v>
      </c>
      <c r="D274" s="48"/>
      <c r="E274" s="47"/>
      <c r="F274" s="48"/>
      <c r="G274" s="47"/>
      <c r="H274" s="47"/>
      <c r="I274" s="90"/>
      <c r="J274" s="66"/>
      <c r="K274" s="67"/>
      <c r="L274" s="68"/>
      <c r="M274" s="69"/>
      <c r="N274" s="80"/>
      <c r="O274" s="78"/>
      <c r="P274" s="76"/>
      <c r="Q274" s="80"/>
      <c r="R274" s="121" t="e">
        <f t="shared" ref="R274:R336" si="7">O274/M274</f>
        <v>#DIV/0!</v>
      </c>
    </row>
    <row r="275" spans="1:18" x14ac:dyDescent="0.2">
      <c r="A275" s="114">
        <v>244434</v>
      </c>
      <c r="B275" s="115" t="s">
        <v>625</v>
      </c>
      <c r="C275" s="47" t="s">
        <v>781</v>
      </c>
      <c r="D275" s="48"/>
      <c r="E275" s="47"/>
      <c r="F275" s="48"/>
      <c r="G275" s="47"/>
      <c r="H275" s="47"/>
      <c r="I275" s="90"/>
      <c r="J275" s="66"/>
      <c r="K275" s="67"/>
      <c r="L275" s="68"/>
      <c r="M275" s="69"/>
      <c r="N275" s="80"/>
      <c r="O275" s="78"/>
      <c r="P275" s="76"/>
      <c r="Q275" s="80"/>
      <c r="R275" s="121" t="e">
        <f t="shared" si="7"/>
        <v>#DIV/0!</v>
      </c>
    </row>
    <row r="276" spans="1:18" x14ac:dyDescent="0.2">
      <c r="A276" s="114">
        <v>244066</v>
      </c>
      <c r="B276" s="48" t="s">
        <v>821</v>
      </c>
      <c r="C276" s="47" t="s">
        <v>799</v>
      </c>
      <c r="D276" s="48">
        <v>9</v>
      </c>
      <c r="E276" s="47" t="s">
        <v>941</v>
      </c>
      <c r="F276" s="48"/>
      <c r="G276" s="47"/>
      <c r="H276" s="47"/>
      <c r="I276" s="68">
        <v>470</v>
      </c>
      <c r="J276" s="66">
        <v>5</v>
      </c>
      <c r="K276" s="67" t="s">
        <v>50</v>
      </c>
      <c r="L276" s="90">
        <v>94</v>
      </c>
      <c r="M276" s="69">
        <v>10</v>
      </c>
      <c r="N276" s="80" t="s">
        <v>58</v>
      </c>
      <c r="O276" s="78">
        <v>94</v>
      </c>
      <c r="P276" s="76">
        <v>1</v>
      </c>
      <c r="Q276" s="80" t="s">
        <v>58</v>
      </c>
      <c r="R276" s="121">
        <f t="shared" si="7"/>
        <v>9.4</v>
      </c>
    </row>
    <row r="277" spans="1:18" x14ac:dyDescent="0.2">
      <c r="A277" s="114">
        <v>244066</v>
      </c>
      <c r="B277" s="48" t="s">
        <v>821</v>
      </c>
      <c r="C277" s="47" t="s">
        <v>800</v>
      </c>
      <c r="D277" s="48"/>
      <c r="E277" s="47" t="s">
        <v>6</v>
      </c>
      <c r="F277" s="49" t="s">
        <v>533</v>
      </c>
      <c r="G277" s="47"/>
      <c r="H277" s="47"/>
      <c r="I277" s="52">
        <v>525</v>
      </c>
      <c r="J277" s="66">
        <v>1</v>
      </c>
      <c r="K277" s="67" t="s">
        <v>50</v>
      </c>
      <c r="L277" s="104">
        <v>525</v>
      </c>
      <c r="M277" s="69">
        <v>10</v>
      </c>
      <c r="N277" s="80" t="s">
        <v>58</v>
      </c>
      <c r="O277" s="78">
        <v>52.5</v>
      </c>
      <c r="P277" s="76">
        <v>1</v>
      </c>
      <c r="Q277" s="80" t="s">
        <v>58</v>
      </c>
      <c r="R277" s="121">
        <f t="shared" si="7"/>
        <v>5.25</v>
      </c>
    </row>
    <row r="278" spans="1:18" x14ac:dyDescent="0.2">
      <c r="A278" s="114">
        <v>244066</v>
      </c>
      <c r="B278" s="48" t="s">
        <v>821</v>
      </c>
      <c r="C278" s="47" t="s">
        <v>801</v>
      </c>
      <c r="D278" s="48"/>
      <c r="E278" s="47" t="s">
        <v>944</v>
      </c>
      <c r="F278" s="48"/>
      <c r="G278" s="47"/>
      <c r="H278" s="47"/>
      <c r="I278" s="90">
        <v>392</v>
      </c>
      <c r="J278" s="66">
        <v>5</v>
      </c>
      <c r="K278" s="67" t="s">
        <v>50</v>
      </c>
      <c r="L278" s="68">
        <v>49</v>
      </c>
      <c r="M278" s="69">
        <v>6</v>
      </c>
      <c r="N278" s="80" t="s">
        <v>58</v>
      </c>
      <c r="O278" s="78">
        <v>49</v>
      </c>
      <c r="P278" s="76">
        <v>1</v>
      </c>
      <c r="Q278" s="80" t="s">
        <v>58</v>
      </c>
      <c r="R278" s="121">
        <f t="shared" si="7"/>
        <v>8.1666666666666661</v>
      </c>
    </row>
    <row r="279" spans="1:18" x14ac:dyDescent="0.2">
      <c r="A279" s="114">
        <v>244066</v>
      </c>
      <c r="B279" s="48" t="s">
        <v>821</v>
      </c>
      <c r="C279" s="47" t="s">
        <v>802</v>
      </c>
      <c r="D279" s="48"/>
      <c r="E279" s="47"/>
      <c r="F279" s="48"/>
      <c r="G279" s="47"/>
      <c r="H279" s="47"/>
      <c r="I279" s="90">
        <v>168</v>
      </c>
      <c r="J279" s="66">
        <v>2</v>
      </c>
      <c r="K279" s="67" t="s">
        <v>50</v>
      </c>
      <c r="L279" s="68">
        <v>84</v>
      </c>
      <c r="M279" s="69">
        <v>10</v>
      </c>
      <c r="N279" s="80" t="s">
        <v>58</v>
      </c>
      <c r="O279" s="78">
        <v>84</v>
      </c>
      <c r="P279" s="76">
        <v>1</v>
      </c>
      <c r="Q279" s="80" t="s">
        <v>58</v>
      </c>
      <c r="R279" s="121">
        <f t="shared" si="7"/>
        <v>8.4</v>
      </c>
    </row>
    <row r="280" spans="1:18" x14ac:dyDescent="0.2">
      <c r="A280" s="114">
        <v>244066</v>
      </c>
      <c r="B280" s="48" t="s">
        <v>821</v>
      </c>
      <c r="C280" s="47" t="s">
        <v>803</v>
      </c>
      <c r="D280" s="48"/>
      <c r="E280" s="47"/>
      <c r="F280" s="48"/>
      <c r="G280" s="47"/>
      <c r="H280" s="47"/>
      <c r="I280" s="90">
        <v>158</v>
      </c>
      <c r="J280" s="66">
        <v>1</v>
      </c>
      <c r="K280" s="67" t="s">
        <v>86</v>
      </c>
      <c r="L280" s="68">
        <v>158</v>
      </c>
      <c r="M280" s="69">
        <v>1000</v>
      </c>
      <c r="N280" s="80" t="s">
        <v>58</v>
      </c>
      <c r="O280" s="78">
        <v>158</v>
      </c>
      <c r="P280" s="76">
        <v>1</v>
      </c>
      <c r="Q280" s="80" t="s">
        <v>58</v>
      </c>
      <c r="R280" s="121">
        <f t="shared" si="7"/>
        <v>0.158</v>
      </c>
    </row>
    <row r="281" spans="1:18" x14ac:dyDescent="0.2">
      <c r="A281" s="114">
        <v>244066</v>
      </c>
      <c r="B281" s="48" t="s">
        <v>821</v>
      </c>
      <c r="C281" s="47" t="s">
        <v>804</v>
      </c>
      <c r="D281" s="48"/>
      <c r="E281" s="47"/>
      <c r="F281" s="48"/>
      <c r="G281" s="47"/>
      <c r="H281" s="47"/>
      <c r="I281" s="90">
        <v>130</v>
      </c>
      <c r="J281" s="66">
        <v>5</v>
      </c>
      <c r="K281" s="67" t="s">
        <v>54</v>
      </c>
      <c r="L281" s="68">
        <v>26</v>
      </c>
      <c r="M281" s="69">
        <v>1</v>
      </c>
      <c r="N281" s="80" t="s">
        <v>50</v>
      </c>
      <c r="O281" s="78">
        <v>26</v>
      </c>
      <c r="P281" s="76">
        <v>1</v>
      </c>
      <c r="Q281" s="80" t="s">
        <v>50</v>
      </c>
      <c r="R281" s="121">
        <f t="shared" si="7"/>
        <v>26</v>
      </c>
    </row>
    <row r="282" spans="1:18" x14ac:dyDescent="0.2">
      <c r="A282" s="114">
        <v>244066</v>
      </c>
      <c r="B282" s="48" t="s">
        <v>821</v>
      </c>
      <c r="C282" s="47" t="s">
        <v>805</v>
      </c>
      <c r="D282" s="48"/>
      <c r="E282" s="47"/>
      <c r="F282" s="48"/>
      <c r="G282" s="47"/>
      <c r="H282" s="47"/>
      <c r="I282" s="90">
        <v>30</v>
      </c>
      <c r="J282" s="66">
        <v>1</v>
      </c>
      <c r="K282" s="67" t="s">
        <v>50</v>
      </c>
      <c r="L282" s="68">
        <v>30</v>
      </c>
      <c r="M282" s="69">
        <v>10</v>
      </c>
      <c r="N282" s="80" t="s">
        <v>54</v>
      </c>
      <c r="O282" s="78">
        <v>30</v>
      </c>
      <c r="P282" s="76">
        <v>1</v>
      </c>
      <c r="Q282" s="80" t="s">
        <v>54</v>
      </c>
      <c r="R282" s="121">
        <f t="shared" si="7"/>
        <v>3</v>
      </c>
    </row>
    <row r="283" spans="1:18" x14ac:dyDescent="0.2">
      <c r="A283" s="114">
        <v>244066</v>
      </c>
      <c r="B283" s="48" t="s">
        <v>821</v>
      </c>
      <c r="C283" s="47" t="s">
        <v>806</v>
      </c>
      <c r="D283" s="48"/>
      <c r="E283" s="47"/>
      <c r="F283" s="48"/>
      <c r="G283" s="47"/>
      <c r="H283" s="47"/>
      <c r="I283" s="90">
        <v>568</v>
      </c>
      <c r="J283" s="66">
        <v>2</v>
      </c>
      <c r="K283" s="67" t="s">
        <v>50</v>
      </c>
      <c r="L283" s="68">
        <v>284</v>
      </c>
      <c r="M283" s="69">
        <v>30</v>
      </c>
      <c r="N283" s="80" t="s">
        <v>58</v>
      </c>
      <c r="O283" s="78">
        <v>284</v>
      </c>
      <c r="P283" s="76">
        <v>1</v>
      </c>
      <c r="Q283" s="80" t="s">
        <v>58</v>
      </c>
      <c r="R283" s="121">
        <f t="shared" si="7"/>
        <v>9.4666666666666668</v>
      </c>
    </row>
    <row r="284" spans="1:18" x14ac:dyDescent="0.2">
      <c r="A284" s="114">
        <v>244066</v>
      </c>
      <c r="B284" s="48" t="s">
        <v>821</v>
      </c>
      <c r="C284" s="47" t="s">
        <v>807</v>
      </c>
      <c r="D284" s="48"/>
      <c r="E284" s="47"/>
      <c r="F284" s="48"/>
      <c r="G284" s="47"/>
      <c r="H284" s="47"/>
      <c r="I284" s="90">
        <v>184</v>
      </c>
      <c r="J284" s="66">
        <v>1</v>
      </c>
      <c r="K284" s="67" t="s">
        <v>50</v>
      </c>
      <c r="L284" s="68">
        <v>184</v>
      </c>
      <c r="M284" s="69">
        <v>10</v>
      </c>
      <c r="N284" s="80" t="s">
        <v>54</v>
      </c>
      <c r="O284" s="78">
        <v>184</v>
      </c>
      <c r="P284" s="76">
        <v>1</v>
      </c>
      <c r="Q284" s="80" t="s">
        <v>54</v>
      </c>
      <c r="R284" s="121">
        <f t="shared" si="7"/>
        <v>18.399999999999999</v>
      </c>
    </row>
    <row r="285" spans="1:18" x14ac:dyDescent="0.2">
      <c r="A285" s="114">
        <v>244066</v>
      </c>
      <c r="B285" s="48" t="s">
        <v>821</v>
      </c>
      <c r="C285" s="47" t="s">
        <v>808</v>
      </c>
      <c r="D285" s="48"/>
      <c r="E285" s="47"/>
      <c r="F285" s="48"/>
      <c r="G285" s="47"/>
      <c r="H285" s="47"/>
      <c r="I285" s="90">
        <v>730</v>
      </c>
      <c r="J285" s="66">
        <v>1</v>
      </c>
      <c r="K285" s="67" t="s">
        <v>50</v>
      </c>
      <c r="L285" s="68">
        <v>730</v>
      </c>
      <c r="M285" s="69">
        <v>500</v>
      </c>
      <c r="N285" s="80" t="s">
        <v>58</v>
      </c>
      <c r="O285" s="78">
        <v>730</v>
      </c>
      <c r="P285" s="76">
        <v>1</v>
      </c>
      <c r="Q285" s="80" t="s">
        <v>58</v>
      </c>
      <c r="R285" s="121">
        <f t="shared" si="7"/>
        <v>1.46</v>
      </c>
    </row>
    <row r="286" spans="1:18" x14ac:dyDescent="0.2">
      <c r="A286" s="114">
        <v>244066</v>
      </c>
      <c r="B286" s="48" t="s">
        <v>821</v>
      </c>
      <c r="C286" s="47" t="s">
        <v>809</v>
      </c>
      <c r="D286" s="48"/>
      <c r="E286" s="47"/>
      <c r="F286" s="48"/>
      <c r="G286" s="47"/>
      <c r="H286" s="47"/>
      <c r="I286" s="90">
        <v>170</v>
      </c>
      <c r="J286" s="66">
        <v>1</v>
      </c>
      <c r="K286" s="67" t="s">
        <v>50</v>
      </c>
      <c r="L286" s="68">
        <v>170</v>
      </c>
      <c r="M286" s="69">
        <v>50</v>
      </c>
      <c r="N286" s="80" t="s">
        <v>162</v>
      </c>
      <c r="O286" s="78">
        <v>170</v>
      </c>
      <c r="P286" s="76">
        <v>1</v>
      </c>
      <c r="Q286" s="80" t="s">
        <v>162</v>
      </c>
      <c r="R286" s="121">
        <f t="shared" si="7"/>
        <v>3.4</v>
      </c>
    </row>
    <row r="287" spans="1:18" x14ac:dyDescent="0.2">
      <c r="A287" s="114">
        <v>244066</v>
      </c>
      <c r="B287" s="48" t="s">
        <v>821</v>
      </c>
      <c r="C287" s="47" t="s">
        <v>810</v>
      </c>
      <c r="D287" s="48"/>
      <c r="E287" s="47"/>
      <c r="F287" s="48"/>
      <c r="G287" s="47"/>
      <c r="H287" s="47"/>
      <c r="I287" s="90">
        <v>53.75</v>
      </c>
      <c r="J287" s="66">
        <v>1</v>
      </c>
      <c r="K287" s="67" t="s">
        <v>50</v>
      </c>
      <c r="L287" s="68">
        <v>53.75</v>
      </c>
      <c r="M287" s="69">
        <v>10</v>
      </c>
      <c r="N287" s="80" t="s">
        <v>64</v>
      </c>
      <c r="O287" s="78">
        <v>53.75</v>
      </c>
      <c r="P287" s="76">
        <v>1</v>
      </c>
      <c r="Q287" s="80" t="s">
        <v>64</v>
      </c>
      <c r="R287" s="121">
        <f t="shared" si="7"/>
        <v>5.375</v>
      </c>
    </row>
    <row r="288" spans="1:18" x14ac:dyDescent="0.2">
      <c r="A288" s="114">
        <v>244066</v>
      </c>
      <c r="B288" s="48" t="s">
        <v>821</v>
      </c>
      <c r="C288" s="47" t="s">
        <v>811</v>
      </c>
      <c r="D288" s="48"/>
      <c r="E288" s="47"/>
      <c r="F288" s="48"/>
      <c r="G288" s="47"/>
      <c r="H288" s="47"/>
      <c r="I288" s="90">
        <v>910</v>
      </c>
      <c r="J288" s="66">
        <v>10</v>
      </c>
      <c r="K288" s="67" t="s">
        <v>57</v>
      </c>
      <c r="L288" s="68">
        <v>91</v>
      </c>
      <c r="M288" s="69">
        <v>10</v>
      </c>
      <c r="N288" s="80" t="s">
        <v>58</v>
      </c>
      <c r="O288" s="78">
        <v>91</v>
      </c>
      <c r="P288" s="76">
        <v>1</v>
      </c>
      <c r="Q288" s="80" t="s">
        <v>58</v>
      </c>
      <c r="R288" s="121">
        <f t="shared" si="7"/>
        <v>9.1</v>
      </c>
    </row>
    <row r="289" spans="1:18" x14ac:dyDescent="0.2">
      <c r="A289" s="114">
        <v>244066</v>
      </c>
      <c r="B289" s="48" t="s">
        <v>821</v>
      </c>
      <c r="C289" s="47" t="s">
        <v>812</v>
      </c>
      <c r="D289" s="48"/>
      <c r="E289" s="47" t="s">
        <v>823</v>
      </c>
      <c r="F289" s="48"/>
      <c r="G289" s="47"/>
      <c r="H289" s="47"/>
      <c r="I289" s="90">
        <v>780</v>
      </c>
      <c r="J289" s="66">
        <v>10</v>
      </c>
      <c r="K289" s="67" t="s">
        <v>57</v>
      </c>
      <c r="L289" s="68">
        <v>78</v>
      </c>
      <c r="M289" s="69">
        <v>10</v>
      </c>
      <c r="N289" s="80" t="s">
        <v>58</v>
      </c>
      <c r="O289" s="78">
        <v>78</v>
      </c>
      <c r="P289" s="76">
        <v>1</v>
      </c>
      <c r="Q289" s="80" t="s">
        <v>58</v>
      </c>
      <c r="R289" s="121">
        <f t="shared" si="7"/>
        <v>7.8</v>
      </c>
    </row>
    <row r="290" spans="1:18" x14ac:dyDescent="0.2">
      <c r="A290" s="114">
        <v>244066</v>
      </c>
      <c r="B290" s="48" t="s">
        <v>821</v>
      </c>
      <c r="C290" s="47" t="s">
        <v>813</v>
      </c>
      <c r="D290" s="48"/>
      <c r="E290" s="47"/>
      <c r="F290" s="48"/>
      <c r="G290" s="47"/>
      <c r="H290" s="47"/>
      <c r="I290" s="90">
        <v>323</v>
      </c>
      <c r="J290" s="66">
        <v>12</v>
      </c>
      <c r="K290" s="67" t="s">
        <v>50</v>
      </c>
      <c r="L290" s="68">
        <v>323</v>
      </c>
      <c r="M290" s="69">
        <v>12</v>
      </c>
      <c r="N290" s="80" t="s">
        <v>50</v>
      </c>
      <c r="O290" s="79">
        <f>L290/12</f>
        <v>26.916666666666668</v>
      </c>
      <c r="P290" s="76">
        <v>1</v>
      </c>
      <c r="Q290" s="80" t="s">
        <v>50</v>
      </c>
      <c r="R290" s="121">
        <f t="shared" si="7"/>
        <v>2.2430555555555558</v>
      </c>
    </row>
    <row r="291" spans="1:18" x14ac:dyDescent="0.2">
      <c r="A291" s="114">
        <v>244066</v>
      </c>
      <c r="B291" s="48" t="s">
        <v>821</v>
      </c>
      <c r="C291" s="47" t="s">
        <v>814</v>
      </c>
      <c r="D291" s="48"/>
      <c r="E291" s="47"/>
      <c r="F291" s="48"/>
      <c r="G291" s="47"/>
      <c r="H291" s="47"/>
      <c r="I291" s="90">
        <v>109</v>
      </c>
      <c r="J291" s="66">
        <v>1</v>
      </c>
      <c r="K291" s="67" t="s">
        <v>50</v>
      </c>
      <c r="L291" s="68">
        <v>109</v>
      </c>
      <c r="M291" s="69">
        <v>10</v>
      </c>
      <c r="N291" s="80" t="s">
        <v>58</v>
      </c>
      <c r="O291" s="78">
        <v>10.9</v>
      </c>
      <c r="P291" s="76">
        <v>1</v>
      </c>
      <c r="Q291" s="80" t="s">
        <v>58</v>
      </c>
      <c r="R291" s="121">
        <f t="shared" si="7"/>
        <v>1.0900000000000001</v>
      </c>
    </row>
    <row r="292" spans="1:18" x14ac:dyDescent="0.2">
      <c r="A292" s="114">
        <v>244066</v>
      </c>
      <c r="B292" s="48" t="s">
        <v>821</v>
      </c>
      <c r="C292" s="47" t="s">
        <v>815</v>
      </c>
      <c r="D292" s="48"/>
      <c r="E292" s="47"/>
      <c r="F292" s="48"/>
      <c r="G292" s="47"/>
      <c r="H292" s="47"/>
      <c r="I292" s="90">
        <v>309</v>
      </c>
      <c r="J292" s="66">
        <v>12</v>
      </c>
      <c r="K292" s="67" t="s">
        <v>50</v>
      </c>
      <c r="L292" s="68">
        <v>309</v>
      </c>
      <c r="M292" s="69">
        <v>12</v>
      </c>
      <c r="N292" s="80" t="s">
        <v>50</v>
      </c>
      <c r="O292" s="79">
        <f>L292/12</f>
        <v>25.75</v>
      </c>
      <c r="P292" s="76">
        <v>1</v>
      </c>
      <c r="Q292" s="80" t="s">
        <v>50</v>
      </c>
      <c r="R292" s="121">
        <f t="shared" si="7"/>
        <v>2.1458333333333335</v>
      </c>
    </row>
    <row r="293" spans="1:18" x14ac:dyDescent="0.2">
      <c r="A293" s="114">
        <v>244066</v>
      </c>
      <c r="B293" s="48" t="s">
        <v>821</v>
      </c>
      <c r="C293" s="47" t="s">
        <v>816</v>
      </c>
      <c r="D293" s="48"/>
      <c r="E293" s="47"/>
      <c r="F293" s="48"/>
      <c r="G293" s="47"/>
      <c r="H293" s="47"/>
      <c r="I293" s="90">
        <v>161.25</v>
      </c>
      <c r="J293" s="66">
        <v>5</v>
      </c>
      <c r="K293" s="67" t="s">
        <v>50</v>
      </c>
      <c r="L293" s="68">
        <v>32.25</v>
      </c>
      <c r="M293" s="69">
        <v>10</v>
      </c>
      <c r="N293" s="80" t="s">
        <v>58</v>
      </c>
      <c r="O293" s="78">
        <v>32.25</v>
      </c>
      <c r="P293" s="76">
        <v>1</v>
      </c>
      <c r="Q293" s="80" t="s">
        <v>58</v>
      </c>
      <c r="R293" s="121">
        <f t="shared" si="7"/>
        <v>3.2250000000000001</v>
      </c>
    </row>
    <row r="294" spans="1:18" x14ac:dyDescent="0.2">
      <c r="A294" s="114">
        <v>244066</v>
      </c>
      <c r="B294" s="48" t="s">
        <v>821</v>
      </c>
      <c r="C294" s="47" t="s">
        <v>817</v>
      </c>
      <c r="D294" s="48"/>
      <c r="E294" s="47"/>
      <c r="F294" s="48"/>
      <c r="G294" s="47"/>
      <c r="H294" s="47"/>
      <c r="I294" s="90">
        <v>166</v>
      </c>
      <c r="J294" s="66">
        <v>2</v>
      </c>
      <c r="K294" s="67" t="s">
        <v>50</v>
      </c>
      <c r="L294" s="68">
        <v>83</v>
      </c>
      <c r="M294" s="69"/>
      <c r="N294" s="80"/>
      <c r="O294" s="78"/>
      <c r="P294" s="76"/>
      <c r="Q294" s="80"/>
      <c r="R294" s="121" t="e">
        <f t="shared" si="7"/>
        <v>#DIV/0!</v>
      </c>
    </row>
    <row r="295" spans="1:18" x14ac:dyDescent="0.2">
      <c r="A295" s="114">
        <v>244066</v>
      </c>
      <c r="B295" s="48" t="s">
        <v>821</v>
      </c>
      <c r="C295" s="47" t="s">
        <v>818</v>
      </c>
      <c r="D295" s="48"/>
      <c r="E295" s="47"/>
      <c r="F295" s="48"/>
      <c r="G295" s="47"/>
      <c r="H295" s="47"/>
      <c r="I295" s="90">
        <v>100</v>
      </c>
      <c r="J295" s="66">
        <v>1</v>
      </c>
      <c r="K295" s="67" t="s">
        <v>50</v>
      </c>
      <c r="L295" s="68">
        <v>100</v>
      </c>
      <c r="M295" s="69"/>
      <c r="N295" s="80"/>
      <c r="O295" s="78"/>
      <c r="P295" s="76"/>
      <c r="Q295" s="80"/>
      <c r="R295" s="121" t="e">
        <f t="shared" si="7"/>
        <v>#DIV/0!</v>
      </c>
    </row>
    <row r="296" spans="1:18" x14ac:dyDescent="0.2">
      <c r="A296" s="114">
        <v>244066</v>
      </c>
      <c r="B296" s="48" t="s">
        <v>821</v>
      </c>
      <c r="C296" s="47" t="s">
        <v>819</v>
      </c>
      <c r="D296" s="48"/>
      <c r="E296" s="47"/>
      <c r="F296" s="48"/>
      <c r="G296" s="47"/>
      <c r="H296" s="47"/>
      <c r="I296" s="90">
        <v>160</v>
      </c>
      <c r="J296" s="66">
        <v>5</v>
      </c>
      <c r="K296" s="67" t="s">
        <v>54</v>
      </c>
      <c r="L296" s="68">
        <v>32</v>
      </c>
      <c r="M296" s="69"/>
      <c r="N296" s="80"/>
      <c r="O296" s="78"/>
      <c r="P296" s="76"/>
      <c r="Q296" s="80"/>
      <c r="R296" s="121" t="e">
        <f t="shared" si="7"/>
        <v>#DIV/0!</v>
      </c>
    </row>
    <row r="297" spans="1:18" x14ac:dyDescent="0.2">
      <c r="A297" s="114">
        <v>244066</v>
      </c>
      <c r="B297" s="48" t="s">
        <v>821</v>
      </c>
      <c r="C297" s="47" t="s">
        <v>348</v>
      </c>
      <c r="D297" s="48"/>
      <c r="E297" s="47"/>
      <c r="F297" s="48"/>
      <c r="G297" s="47"/>
      <c r="H297" s="47"/>
      <c r="I297" s="90">
        <v>334</v>
      </c>
      <c r="J297" s="66">
        <v>2</v>
      </c>
      <c r="K297" s="67" t="s">
        <v>50</v>
      </c>
      <c r="L297" s="68">
        <v>167</v>
      </c>
      <c r="M297" s="69"/>
      <c r="N297" s="80"/>
      <c r="O297" s="78"/>
      <c r="P297" s="76"/>
      <c r="Q297" s="80"/>
      <c r="R297" s="121" t="e">
        <f t="shared" si="7"/>
        <v>#DIV/0!</v>
      </c>
    </row>
    <row r="298" spans="1:18" x14ac:dyDescent="0.2">
      <c r="A298" s="114">
        <v>244066</v>
      </c>
      <c r="B298" s="48" t="s">
        <v>821</v>
      </c>
      <c r="C298" s="47" t="s">
        <v>820</v>
      </c>
      <c r="D298" s="48"/>
      <c r="E298" s="47"/>
      <c r="F298" s="48"/>
      <c r="G298" s="47"/>
      <c r="H298" s="47"/>
      <c r="I298" s="90">
        <v>585</v>
      </c>
      <c r="J298" s="66">
        <v>1</v>
      </c>
      <c r="K298" s="67" t="s">
        <v>50</v>
      </c>
      <c r="L298" s="68">
        <v>585</v>
      </c>
      <c r="M298" s="69"/>
      <c r="N298" s="80"/>
      <c r="O298" s="78"/>
      <c r="P298" s="76"/>
      <c r="Q298" s="80"/>
      <c r="R298" s="121" t="e">
        <f t="shared" si="7"/>
        <v>#DIV/0!</v>
      </c>
    </row>
    <row r="299" spans="1:18" x14ac:dyDescent="0.2">
      <c r="A299" s="114">
        <v>244066</v>
      </c>
      <c r="B299" s="48" t="s">
        <v>821</v>
      </c>
      <c r="C299" s="47" t="s">
        <v>822</v>
      </c>
      <c r="D299" s="48"/>
      <c r="E299" s="47"/>
      <c r="F299" s="48"/>
      <c r="G299" s="47"/>
      <c r="H299" s="47"/>
      <c r="I299" s="90">
        <v>102</v>
      </c>
      <c r="J299" s="66">
        <v>1</v>
      </c>
      <c r="K299" s="67" t="s">
        <v>50</v>
      </c>
      <c r="L299" s="68">
        <v>102</v>
      </c>
      <c r="M299" s="69"/>
      <c r="N299" s="80"/>
      <c r="O299" s="78"/>
      <c r="P299" s="76"/>
      <c r="Q299" s="80"/>
      <c r="R299" s="121" t="e">
        <f t="shared" si="7"/>
        <v>#DIV/0!</v>
      </c>
    </row>
    <row r="300" spans="1:18" x14ac:dyDescent="0.2">
      <c r="A300" s="114"/>
      <c r="B300" s="48"/>
      <c r="C300" s="47"/>
      <c r="D300" s="48"/>
      <c r="E300" s="47"/>
      <c r="F300" s="48"/>
      <c r="G300" s="47"/>
      <c r="H300" s="47"/>
      <c r="I300" s="90"/>
      <c r="J300" s="66"/>
      <c r="K300" s="67"/>
      <c r="L300" s="68"/>
      <c r="M300" s="69"/>
      <c r="N300" s="80"/>
      <c r="O300" s="78"/>
      <c r="P300" s="76"/>
      <c r="Q300" s="80"/>
      <c r="R300" s="121" t="e">
        <f t="shared" si="7"/>
        <v>#DIV/0!</v>
      </c>
    </row>
    <row r="301" spans="1:18" x14ac:dyDescent="0.2">
      <c r="A301" s="114">
        <v>244540</v>
      </c>
      <c r="B301" s="48" t="s">
        <v>625</v>
      </c>
      <c r="C301" s="111" t="s">
        <v>824</v>
      </c>
      <c r="D301" s="48" t="s">
        <v>707</v>
      </c>
      <c r="E301" s="47"/>
      <c r="F301" s="48"/>
      <c r="G301" s="47"/>
      <c r="H301" s="47"/>
      <c r="I301" s="90">
        <v>120</v>
      </c>
      <c r="J301" s="66">
        <v>6</v>
      </c>
      <c r="K301" s="67" t="s">
        <v>54</v>
      </c>
      <c r="L301" s="68">
        <v>20</v>
      </c>
      <c r="M301" s="69">
        <v>1</v>
      </c>
      <c r="N301" s="80" t="s">
        <v>54</v>
      </c>
      <c r="O301" s="78">
        <v>20</v>
      </c>
      <c r="P301" s="76">
        <v>1</v>
      </c>
      <c r="Q301" s="80" t="s">
        <v>54</v>
      </c>
      <c r="R301" s="121">
        <f t="shared" si="7"/>
        <v>20</v>
      </c>
    </row>
    <row r="302" spans="1:18" x14ac:dyDescent="0.2">
      <c r="A302" s="114">
        <v>244540</v>
      </c>
      <c r="B302" s="48" t="s">
        <v>625</v>
      </c>
      <c r="C302" s="83" t="s">
        <v>825</v>
      </c>
      <c r="D302" s="48" t="s">
        <v>707</v>
      </c>
      <c r="E302" s="47"/>
      <c r="F302" s="48"/>
      <c r="G302" s="47"/>
      <c r="H302" s="47"/>
      <c r="I302" s="90">
        <v>216</v>
      </c>
      <c r="J302" s="66">
        <v>12</v>
      </c>
      <c r="K302" s="67" t="s">
        <v>54</v>
      </c>
      <c r="L302" s="68">
        <v>18</v>
      </c>
      <c r="M302" s="69">
        <v>1</v>
      </c>
      <c r="N302" s="80" t="s">
        <v>54</v>
      </c>
      <c r="O302" s="78">
        <v>18</v>
      </c>
      <c r="P302" s="76">
        <v>1</v>
      </c>
      <c r="Q302" s="80" t="s">
        <v>54</v>
      </c>
      <c r="R302" s="121">
        <f t="shared" si="7"/>
        <v>18</v>
      </c>
    </row>
    <row r="303" spans="1:18" x14ac:dyDescent="0.2">
      <c r="A303" s="114">
        <v>244540</v>
      </c>
      <c r="B303" s="48" t="s">
        <v>625</v>
      </c>
      <c r="C303" s="83" t="s">
        <v>738</v>
      </c>
      <c r="D303" s="48" t="s">
        <v>653</v>
      </c>
      <c r="E303" s="47"/>
      <c r="F303" s="48"/>
      <c r="G303" s="47"/>
      <c r="H303" s="47"/>
      <c r="I303" s="90">
        <v>78</v>
      </c>
      <c r="J303" s="66">
        <v>3</v>
      </c>
      <c r="K303" s="67" t="s">
        <v>54</v>
      </c>
      <c r="L303" s="68">
        <v>26</v>
      </c>
      <c r="M303" s="69">
        <v>1</v>
      </c>
      <c r="N303" s="80" t="s">
        <v>54</v>
      </c>
      <c r="O303" s="78">
        <v>26</v>
      </c>
      <c r="P303" s="76">
        <v>1</v>
      </c>
      <c r="Q303" s="80" t="s">
        <v>54</v>
      </c>
      <c r="R303" s="121">
        <f t="shared" si="7"/>
        <v>26</v>
      </c>
    </row>
    <row r="304" spans="1:18" x14ac:dyDescent="0.2">
      <c r="A304" s="114">
        <v>244540</v>
      </c>
      <c r="B304" s="48" t="s">
        <v>625</v>
      </c>
      <c r="C304" s="83" t="s">
        <v>453</v>
      </c>
      <c r="D304" s="48" t="s">
        <v>707</v>
      </c>
      <c r="E304" s="47"/>
      <c r="F304" s="48"/>
      <c r="G304" s="47"/>
      <c r="H304" s="47"/>
      <c r="I304" s="90">
        <v>153</v>
      </c>
      <c r="J304" s="66">
        <v>12</v>
      </c>
      <c r="K304" s="67" t="s">
        <v>54</v>
      </c>
      <c r="L304" s="68">
        <v>12.75</v>
      </c>
      <c r="M304" s="69">
        <v>1</v>
      </c>
      <c r="N304" s="80" t="s">
        <v>54</v>
      </c>
      <c r="O304" s="78">
        <v>12.75</v>
      </c>
      <c r="P304" s="76">
        <v>1</v>
      </c>
      <c r="Q304" s="80" t="s">
        <v>54</v>
      </c>
      <c r="R304" s="121">
        <f t="shared" si="7"/>
        <v>12.75</v>
      </c>
    </row>
    <row r="305" spans="1:18" x14ac:dyDescent="0.2">
      <c r="A305" s="114">
        <v>244540</v>
      </c>
      <c r="B305" s="48" t="s">
        <v>625</v>
      </c>
      <c r="C305" s="83" t="s">
        <v>645</v>
      </c>
      <c r="D305" s="48" t="s">
        <v>653</v>
      </c>
      <c r="E305" s="47"/>
      <c r="F305" s="48"/>
      <c r="G305" s="47"/>
      <c r="H305" s="47"/>
      <c r="I305" s="90">
        <v>112</v>
      </c>
      <c r="J305" s="66">
        <v>2</v>
      </c>
      <c r="K305" s="67" t="s">
        <v>727</v>
      </c>
      <c r="L305" s="68">
        <v>56</v>
      </c>
      <c r="M305" s="69">
        <v>1</v>
      </c>
      <c r="N305" s="80" t="s">
        <v>727</v>
      </c>
      <c r="O305" s="78">
        <v>56</v>
      </c>
      <c r="P305" s="76">
        <v>1</v>
      </c>
      <c r="Q305" s="80" t="s">
        <v>727</v>
      </c>
      <c r="R305" s="121">
        <f t="shared" si="7"/>
        <v>56</v>
      </c>
    </row>
    <row r="306" spans="1:18" x14ac:dyDescent="0.2">
      <c r="A306" s="114">
        <v>244540</v>
      </c>
      <c r="B306" s="48" t="s">
        <v>625</v>
      </c>
      <c r="C306" s="83" t="s">
        <v>826</v>
      </c>
      <c r="D306" s="48"/>
      <c r="E306" s="47"/>
      <c r="F306" s="48"/>
      <c r="G306" s="47"/>
      <c r="H306" s="47"/>
      <c r="I306" s="90">
        <v>130</v>
      </c>
      <c r="J306" s="66">
        <v>10</v>
      </c>
      <c r="K306" s="67" t="s">
        <v>57</v>
      </c>
      <c r="L306" s="68">
        <v>13</v>
      </c>
      <c r="M306" s="69">
        <v>10</v>
      </c>
      <c r="N306" s="80" t="s">
        <v>58</v>
      </c>
      <c r="O306" s="78">
        <v>13</v>
      </c>
      <c r="P306" s="76">
        <v>1</v>
      </c>
      <c r="Q306" s="80" t="s">
        <v>58</v>
      </c>
      <c r="R306" s="121">
        <f t="shared" si="7"/>
        <v>1.3</v>
      </c>
    </row>
    <row r="307" spans="1:18" x14ac:dyDescent="0.2">
      <c r="A307" s="114">
        <v>244540</v>
      </c>
      <c r="B307" s="48" t="s">
        <v>625</v>
      </c>
      <c r="C307" s="83" t="s">
        <v>497</v>
      </c>
      <c r="D307" s="48">
        <v>4</v>
      </c>
      <c r="E307" s="47"/>
      <c r="F307" s="48"/>
      <c r="G307" s="47"/>
      <c r="H307" s="47"/>
      <c r="I307" s="90">
        <v>132</v>
      </c>
      <c r="J307" s="66">
        <v>6</v>
      </c>
      <c r="K307" s="67" t="s">
        <v>54</v>
      </c>
      <c r="L307" s="68">
        <v>22</v>
      </c>
      <c r="M307" s="69">
        <v>1</v>
      </c>
      <c r="N307" s="80" t="s">
        <v>54</v>
      </c>
      <c r="O307" s="78">
        <v>22</v>
      </c>
      <c r="P307" s="76">
        <v>1</v>
      </c>
      <c r="Q307" s="80" t="s">
        <v>54</v>
      </c>
      <c r="R307" s="121">
        <f t="shared" si="7"/>
        <v>22</v>
      </c>
    </row>
    <row r="308" spans="1:18" x14ac:dyDescent="0.2">
      <c r="A308" s="114">
        <v>244540</v>
      </c>
      <c r="B308" s="48" t="s">
        <v>625</v>
      </c>
      <c r="C308" s="83" t="s">
        <v>737</v>
      </c>
      <c r="D308" s="48">
        <v>12</v>
      </c>
      <c r="E308" s="47"/>
      <c r="F308" s="48"/>
      <c r="G308" s="47"/>
      <c r="H308" s="47"/>
      <c r="I308" s="90">
        <v>159</v>
      </c>
      <c r="J308" s="66">
        <v>6</v>
      </c>
      <c r="K308" s="67" t="s">
        <v>54</v>
      </c>
      <c r="L308" s="68">
        <v>26.5</v>
      </c>
      <c r="M308" s="69">
        <v>1</v>
      </c>
      <c r="N308" s="80" t="s">
        <v>54</v>
      </c>
      <c r="O308" s="78">
        <v>26.5</v>
      </c>
      <c r="P308" s="76">
        <v>1</v>
      </c>
      <c r="Q308" s="80" t="s">
        <v>54</v>
      </c>
      <c r="R308" s="121">
        <f t="shared" si="7"/>
        <v>26.5</v>
      </c>
    </row>
    <row r="309" spans="1:18" x14ac:dyDescent="0.2">
      <c r="A309" s="114">
        <v>244540</v>
      </c>
      <c r="B309" s="48" t="s">
        <v>625</v>
      </c>
      <c r="C309" s="83" t="s">
        <v>374</v>
      </c>
      <c r="D309" s="48">
        <v>12</v>
      </c>
      <c r="E309" s="47"/>
      <c r="F309" s="48"/>
      <c r="G309" s="47"/>
      <c r="H309" s="47"/>
      <c r="I309" s="90">
        <v>100</v>
      </c>
      <c r="J309" s="66">
        <v>4</v>
      </c>
      <c r="K309" s="67" t="s">
        <v>54</v>
      </c>
      <c r="L309" s="68">
        <v>25</v>
      </c>
      <c r="M309" s="69">
        <v>1</v>
      </c>
      <c r="N309" s="80" t="s">
        <v>54</v>
      </c>
      <c r="O309" s="78">
        <v>25</v>
      </c>
      <c r="P309" s="76">
        <v>1</v>
      </c>
      <c r="Q309" s="80" t="s">
        <v>54</v>
      </c>
      <c r="R309" s="121">
        <f t="shared" si="7"/>
        <v>25</v>
      </c>
    </row>
    <row r="310" spans="1:18" x14ac:dyDescent="0.2">
      <c r="A310" s="114">
        <v>244540</v>
      </c>
      <c r="B310" s="48" t="s">
        <v>625</v>
      </c>
      <c r="C310" s="83" t="s">
        <v>827</v>
      </c>
      <c r="D310" s="48">
        <v>11</v>
      </c>
      <c r="E310" s="47"/>
      <c r="F310" s="48"/>
      <c r="G310" s="47"/>
      <c r="H310" s="47"/>
      <c r="I310" s="90">
        <v>660</v>
      </c>
      <c r="J310" s="66">
        <v>5</v>
      </c>
      <c r="K310" s="67" t="s">
        <v>54</v>
      </c>
      <c r="L310" s="68">
        <v>132</v>
      </c>
      <c r="M310" s="69">
        <v>1</v>
      </c>
      <c r="N310" s="80" t="s">
        <v>54</v>
      </c>
      <c r="O310" s="78">
        <v>25</v>
      </c>
      <c r="P310" s="76">
        <v>1</v>
      </c>
      <c r="Q310" s="80" t="s">
        <v>54</v>
      </c>
      <c r="R310" s="121">
        <f t="shared" si="7"/>
        <v>25</v>
      </c>
    </row>
    <row r="311" spans="1:18" x14ac:dyDescent="0.2">
      <c r="A311" s="114">
        <v>244540</v>
      </c>
      <c r="B311" s="48" t="s">
        <v>625</v>
      </c>
      <c r="C311" s="83" t="s">
        <v>480</v>
      </c>
      <c r="D311" s="48">
        <v>2</v>
      </c>
      <c r="E311" s="47"/>
      <c r="F311" s="48"/>
      <c r="G311" s="47"/>
      <c r="H311" s="47"/>
      <c r="I311" s="90">
        <v>95</v>
      </c>
      <c r="J311" s="66">
        <v>10</v>
      </c>
      <c r="K311" s="67" t="s">
        <v>57</v>
      </c>
      <c r="L311" s="68">
        <v>9.5</v>
      </c>
      <c r="M311" s="69">
        <v>10</v>
      </c>
      <c r="N311" s="80" t="s">
        <v>58</v>
      </c>
      <c r="O311" s="78">
        <v>9.5</v>
      </c>
      <c r="P311" s="76">
        <v>1</v>
      </c>
      <c r="Q311" s="80" t="s">
        <v>58</v>
      </c>
      <c r="R311" s="121">
        <f t="shared" si="7"/>
        <v>0.95</v>
      </c>
    </row>
    <row r="312" spans="1:18" x14ac:dyDescent="0.2">
      <c r="A312" s="114">
        <v>244540</v>
      </c>
      <c r="B312" s="48" t="s">
        <v>625</v>
      </c>
      <c r="C312" s="83" t="s">
        <v>828</v>
      </c>
      <c r="D312" s="48">
        <v>4</v>
      </c>
      <c r="E312" s="47"/>
      <c r="F312" s="48"/>
      <c r="G312" s="47"/>
      <c r="H312" s="47"/>
      <c r="I312" s="90">
        <v>81</v>
      </c>
      <c r="J312" s="66">
        <v>1</v>
      </c>
      <c r="K312" s="67" t="s">
        <v>50</v>
      </c>
      <c r="L312" s="68">
        <v>81</v>
      </c>
      <c r="M312" s="69">
        <v>50</v>
      </c>
      <c r="N312" s="80" t="s">
        <v>162</v>
      </c>
      <c r="O312" s="78">
        <v>81</v>
      </c>
      <c r="P312" s="76">
        <v>1</v>
      </c>
      <c r="Q312" s="80" t="s">
        <v>162</v>
      </c>
      <c r="R312" s="121">
        <f t="shared" si="7"/>
        <v>1.62</v>
      </c>
    </row>
    <row r="313" spans="1:18" x14ac:dyDescent="0.2">
      <c r="A313" s="114">
        <v>244540</v>
      </c>
      <c r="B313" s="48" t="s">
        <v>625</v>
      </c>
      <c r="C313" s="83" t="s">
        <v>479</v>
      </c>
      <c r="D313" s="48">
        <v>2</v>
      </c>
      <c r="E313" s="47" t="s">
        <v>22</v>
      </c>
      <c r="F313" s="48"/>
      <c r="G313" s="47"/>
      <c r="H313" s="47"/>
      <c r="I313" s="90">
        <v>220</v>
      </c>
      <c r="J313" s="66">
        <v>20</v>
      </c>
      <c r="K313" s="67" t="s">
        <v>57</v>
      </c>
      <c r="L313" s="68">
        <v>11</v>
      </c>
      <c r="M313" s="69">
        <v>10</v>
      </c>
      <c r="N313" s="80" t="s">
        <v>58</v>
      </c>
      <c r="O313" s="78">
        <v>11</v>
      </c>
      <c r="P313" s="76">
        <v>1</v>
      </c>
      <c r="Q313" s="80" t="s">
        <v>58</v>
      </c>
      <c r="R313" s="121">
        <f t="shared" si="7"/>
        <v>1.1000000000000001</v>
      </c>
    </row>
    <row r="314" spans="1:18" x14ac:dyDescent="0.2">
      <c r="A314" s="114">
        <v>244540</v>
      </c>
      <c r="B314" s="48" t="s">
        <v>625</v>
      </c>
      <c r="C314" s="83" t="s">
        <v>829</v>
      </c>
      <c r="D314" s="48"/>
      <c r="E314" s="47"/>
      <c r="F314" s="48"/>
      <c r="G314" s="47"/>
      <c r="H314" s="47"/>
      <c r="I314" s="90">
        <v>81</v>
      </c>
      <c r="J314" s="66">
        <v>6</v>
      </c>
      <c r="K314" s="67" t="s">
        <v>51</v>
      </c>
      <c r="L314" s="68">
        <v>13.5</v>
      </c>
      <c r="M314" s="69">
        <v>1</v>
      </c>
      <c r="N314" s="80" t="s">
        <v>51</v>
      </c>
      <c r="O314" s="78">
        <v>13.5</v>
      </c>
      <c r="P314" s="76">
        <v>1</v>
      </c>
      <c r="Q314" s="80" t="s">
        <v>51</v>
      </c>
      <c r="R314" s="121">
        <f t="shared" si="7"/>
        <v>13.5</v>
      </c>
    </row>
    <row r="315" spans="1:18" x14ac:dyDescent="0.2">
      <c r="A315" s="114">
        <v>244540</v>
      </c>
      <c r="B315" s="48" t="s">
        <v>625</v>
      </c>
      <c r="C315" s="83" t="s">
        <v>690</v>
      </c>
      <c r="D315" s="48">
        <v>5</v>
      </c>
      <c r="E315" s="47"/>
      <c r="F315" s="48"/>
      <c r="G315" s="47"/>
      <c r="H315" s="47"/>
      <c r="I315" s="90">
        <v>416</v>
      </c>
      <c r="J315" s="66">
        <v>1</v>
      </c>
      <c r="K315" s="67" t="s">
        <v>54</v>
      </c>
      <c r="L315" s="68">
        <v>416</v>
      </c>
      <c r="M315" s="69">
        <v>500</v>
      </c>
      <c r="N315" s="80" t="s">
        <v>58</v>
      </c>
      <c r="O315" s="78">
        <v>416</v>
      </c>
      <c r="P315" s="76">
        <v>1</v>
      </c>
      <c r="Q315" s="80" t="s">
        <v>58</v>
      </c>
      <c r="R315" s="121">
        <f t="shared" si="7"/>
        <v>0.83199999999999996</v>
      </c>
    </row>
    <row r="316" spans="1:18" x14ac:dyDescent="0.2">
      <c r="A316" s="114">
        <v>244540</v>
      </c>
      <c r="B316" s="48" t="s">
        <v>625</v>
      </c>
      <c r="C316" s="83" t="s">
        <v>735</v>
      </c>
      <c r="D316" s="48">
        <v>1</v>
      </c>
      <c r="E316" s="47"/>
      <c r="F316" s="48"/>
      <c r="G316" s="47"/>
      <c r="H316" s="47"/>
      <c r="I316" s="90">
        <v>300</v>
      </c>
      <c r="J316" s="66">
        <v>50</v>
      </c>
      <c r="K316" s="67" t="s">
        <v>57</v>
      </c>
      <c r="L316" s="68">
        <v>6</v>
      </c>
      <c r="M316" s="69">
        <v>10</v>
      </c>
      <c r="N316" s="80" t="s">
        <v>58</v>
      </c>
      <c r="O316" s="78">
        <v>6</v>
      </c>
      <c r="P316" s="76">
        <v>1</v>
      </c>
      <c r="Q316" s="80" t="s">
        <v>58</v>
      </c>
      <c r="R316" s="121">
        <f t="shared" si="7"/>
        <v>0.6</v>
      </c>
    </row>
    <row r="317" spans="1:18" x14ac:dyDescent="0.2">
      <c r="A317" s="114">
        <v>244545</v>
      </c>
      <c r="B317" s="48" t="s">
        <v>625</v>
      </c>
      <c r="C317" s="47" t="s">
        <v>830</v>
      </c>
      <c r="D317" s="48">
        <v>5</v>
      </c>
      <c r="E317" s="47"/>
      <c r="F317" s="48"/>
      <c r="G317" s="47"/>
      <c r="H317" s="47"/>
      <c r="I317" s="90">
        <v>199</v>
      </c>
      <c r="J317" s="66">
        <v>1</v>
      </c>
      <c r="K317" s="67" t="s">
        <v>54</v>
      </c>
      <c r="L317" s="68">
        <v>199</v>
      </c>
      <c r="M317" s="69">
        <v>1000</v>
      </c>
      <c r="N317" s="80" t="s">
        <v>58</v>
      </c>
      <c r="O317" s="78">
        <v>199</v>
      </c>
      <c r="P317" s="76">
        <v>1</v>
      </c>
      <c r="Q317" s="80" t="s">
        <v>58</v>
      </c>
      <c r="R317" s="121">
        <f t="shared" si="7"/>
        <v>0.19900000000000001</v>
      </c>
    </row>
    <row r="318" spans="1:18" x14ac:dyDescent="0.2">
      <c r="A318" s="114">
        <v>244545</v>
      </c>
      <c r="B318" s="48" t="s">
        <v>625</v>
      </c>
      <c r="C318" s="47" t="s">
        <v>831</v>
      </c>
      <c r="D318" s="48">
        <v>8</v>
      </c>
      <c r="E318" s="47"/>
      <c r="F318" s="48"/>
      <c r="G318" s="47"/>
      <c r="H318" s="47"/>
      <c r="I318" s="90">
        <v>130</v>
      </c>
      <c r="J318" s="66">
        <v>2</v>
      </c>
      <c r="K318" s="67" t="s">
        <v>51</v>
      </c>
      <c r="L318" s="68">
        <v>65</v>
      </c>
      <c r="M318" s="69">
        <v>1</v>
      </c>
      <c r="N318" s="80" t="s">
        <v>51</v>
      </c>
      <c r="O318" s="78">
        <v>65</v>
      </c>
      <c r="P318" s="76">
        <v>1</v>
      </c>
      <c r="Q318" s="80" t="s">
        <v>51</v>
      </c>
      <c r="R318" s="121">
        <f t="shared" si="7"/>
        <v>65</v>
      </c>
    </row>
    <row r="319" spans="1:18" x14ac:dyDescent="0.2">
      <c r="A319" s="114">
        <v>244545</v>
      </c>
      <c r="B319" s="48" t="s">
        <v>625</v>
      </c>
      <c r="C319" s="47" t="s">
        <v>451</v>
      </c>
      <c r="D319" s="48">
        <v>10</v>
      </c>
      <c r="E319" s="47"/>
      <c r="F319" s="48"/>
      <c r="G319" s="47"/>
      <c r="H319" s="47"/>
      <c r="I319" s="90">
        <v>105</v>
      </c>
      <c r="J319" s="66">
        <v>60</v>
      </c>
      <c r="K319" s="67" t="s">
        <v>162</v>
      </c>
      <c r="L319" s="68">
        <v>1.75</v>
      </c>
      <c r="M319" s="69">
        <v>60</v>
      </c>
      <c r="N319" s="80" t="s">
        <v>162</v>
      </c>
      <c r="O319" s="78">
        <v>105</v>
      </c>
      <c r="P319" s="76">
        <v>1</v>
      </c>
      <c r="Q319" s="80" t="s">
        <v>162</v>
      </c>
      <c r="R319" s="121">
        <f t="shared" si="7"/>
        <v>1.75</v>
      </c>
    </row>
    <row r="320" spans="1:18" x14ac:dyDescent="0.2">
      <c r="A320" s="114">
        <v>244545</v>
      </c>
      <c r="B320" s="48" t="s">
        <v>625</v>
      </c>
      <c r="C320" s="47" t="s">
        <v>832</v>
      </c>
      <c r="D320" s="48">
        <v>2</v>
      </c>
      <c r="E320" s="47" t="s">
        <v>943</v>
      </c>
      <c r="F320" s="48"/>
      <c r="G320" s="47"/>
      <c r="H320" s="47"/>
      <c r="I320" s="90">
        <v>190</v>
      </c>
      <c r="J320" s="66">
        <v>50</v>
      </c>
      <c r="K320" s="67" t="s">
        <v>57</v>
      </c>
      <c r="L320" s="68">
        <v>3.8</v>
      </c>
      <c r="M320" s="69">
        <v>10</v>
      </c>
      <c r="N320" s="80" t="s">
        <v>58</v>
      </c>
      <c r="O320" s="78">
        <v>3.8</v>
      </c>
      <c r="P320" s="76">
        <v>1</v>
      </c>
      <c r="Q320" s="80" t="s">
        <v>58</v>
      </c>
      <c r="R320" s="121">
        <f t="shared" si="7"/>
        <v>0.38</v>
      </c>
    </row>
    <row r="321" spans="1:18" x14ac:dyDescent="0.2">
      <c r="A321" s="114">
        <v>244545</v>
      </c>
      <c r="B321" s="48" t="s">
        <v>625</v>
      </c>
      <c r="C321" s="47" t="s">
        <v>833</v>
      </c>
      <c r="D321" s="48">
        <v>2</v>
      </c>
      <c r="E321" s="47"/>
      <c r="F321" s="48"/>
      <c r="G321" s="47"/>
      <c r="H321" s="47"/>
      <c r="I321" s="90">
        <v>560</v>
      </c>
      <c r="J321" s="66">
        <v>50</v>
      </c>
      <c r="K321" s="67" t="s">
        <v>57</v>
      </c>
      <c r="L321" s="68">
        <v>11.2</v>
      </c>
      <c r="M321" s="69">
        <v>10</v>
      </c>
      <c r="N321" s="80" t="s">
        <v>58</v>
      </c>
      <c r="O321" s="78">
        <v>11.2</v>
      </c>
      <c r="P321" s="76">
        <v>1</v>
      </c>
      <c r="Q321" s="80" t="s">
        <v>58</v>
      </c>
      <c r="R321" s="121">
        <f t="shared" si="7"/>
        <v>1.1199999999999999</v>
      </c>
    </row>
    <row r="322" spans="1:18" x14ac:dyDescent="0.2">
      <c r="A322" s="114">
        <v>244545</v>
      </c>
      <c r="B322" s="48" t="s">
        <v>625</v>
      </c>
      <c r="C322" s="47" t="s">
        <v>834</v>
      </c>
      <c r="D322" s="48">
        <v>2</v>
      </c>
      <c r="E322" s="47"/>
      <c r="F322" s="48"/>
      <c r="G322" s="47"/>
      <c r="H322" s="47"/>
      <c r="I322" s="90">
        <v>80</v>
      </c>
      <c r="J322" s="66">
        <v>5</v>
      </c>
      <c r="K322" s="67" t="s">
        <v>57</v>
      </c>
      <c r="L322" s="68">
        <v>16</v>
      </c>
      <c r="M322" s="69">
        <v>10</v>
      </c>
      <c r="N322" s="80" t="s">
        <v>58</v>
      </c>
      <c r="O322" s="78">
        <v>16</v>
      </c>
      <c r="P322" s="76">
        <v>1</v>
      </c>
      <c r="Q322" s="80" t="s">
        <v>58</v>
      </c>
      <c r="R322" s="121">
        <f t="shared" si="7"/>
        <v>1.6</v>
      </c>
    </row>
    <row r="323" spans="1:18" x14ac:dyDescent="0.2">
      <c r="A323" s="56"/>
      <c r="B323" s="48"/>
      <c r="C323" s="47"/>
      <c r="D323" s="48"/>
      <c r="E323" s="47"/>
      <c r="F323" s="48"/>
      <c r="G323" s="47"/>
      <c r="H323" s="47"/>
      <c r="I323" s="90"/>
      <c r="J323" s="66"/>
      <c r="K323" s="67"/>
      <c r="L323" s="68"/>
      <c r="M323" s="69"/>
      <c r="N323" s="80"/>
      <c r="O323" s="78"/>
      <c r="P323" s="76"/>
      <c r="Q323" s="80"/>
      <c r="R323" s="121" t="e">
        <f t="shared" si="7"/>
        <v>#DIV/0!</v>
      </c>
    </row>
    <row r="324" spans="1:18" x14ac:dyDescent="0.2">
      <c r="A324" s="54">
        <v>244430</v>
      </c>
      <c r="B324" s="122" t="s">
        <v>821</v>
      </c>
      <c r="C324" s="128" t="s">
        <v>799</v>
      </c>
      <c r="D324" s="48">
        <v>9</v>
      </c>
      <c r="E324" s="47" t="s">
        <v>941</v>
      </c>
      <c r="F324" s="122"/>
      <c r="G324" s="128"/>
      <c r="H324" s="128"/>
      <c r="I324" s="156">
        <v>170</v>
      </c>
      <c r="J324" s="130">
        <v>5</v>
      </c>
      <c r="K324" s="131" t="s">
        <v>50</v>
      </c>
      <c r="L324" s="145">
        <v>94</v>
      </c>
      <c r="M324" s="132">
        <v>10</v>
      </c>
      <c r="N324" s="141" t="s">
        <v>58</v>
      </c>
      <c r="O324" s="133">
        <v>94</v>
      </c>
      <c r="P324" s="134">
        <v>1</v>
      </c>
      <c r="Q324" s="141" t="s">
        <v>58</v>
      </c>
      <c r="R324" s="135">
        <f t="shared" si="7"/>
        <v>9.4</v>
      </c>
    </row>
    <row r="325" spans="1:18" x14ac:dyDescent="0.2">
      <c r="A325" s="54">
        <v>244430</v>
      </c>
      <c r="B325" s="122" t="s">
        <v>821</v>
      </c>
      <c r="C325" s="128" t="s">
        <v>835</v>
      </c>
      <c r="D325" s="122"/>
      <c r="E325" s="128" t="s">
        <v>6</v>
      </c>
      <c r="F325" s="122"/>
      <c r="G325" s="128"/>
      <c r="H325" s="128"/>
      <c r="I325" s="156">
        <v>525</v>
      </c>
      <c r="J325" s="130">
        <v>1</v>
      </c>
      <c r="K325" s="131" t="s">
        <v>50</v>
      </c>
      <c r="L325" s="145">
        <v>525</v>
      </c>
      <c r="M325" s="132">
        <v>500</v>
      </c>
      <c r="N325" s="141" t="s">
        <v>58</v>
      </c>
      <c r="O325" s="133">
        <v>525</v>
      </c>
      <c r="P325" s="134">
        <v>1</v>
      </c>
      <c r="Q325" s="141" t="s">
        <v>58</v>
      </c>
      <c r="R325" s="135">
        <f t="shared" si="7"/>
        <v>1.05</v>
      </c>
    </row>
    <row r="326" spans="1:18" x14ac:dyDescent="0.2">
      <c r="A326" s="54">
        <v>244430</v>
      </c>
      <c r="B326" s="122" t="s">
        <v>821</v>
      </c>
      <c r="C326" s="128" t="s">
        <v>836</v>
      </c>
      <c r="D326" s="122"/>
      <c r="E326" s="128" t="s">
        <v>944</v>
      </c>
      <c r="F326" s="122"/>
      <c r="G326" s="128"/>
      <c r="H326" s="128"/>
      <c r="I326" s="156">
        <v>392</v>
      </c>
      <c r="J326" s="130">
        <v>8</v>
      </c>
      <c r="K326" s="131" t="s">
        <v>50</v>
      </c>
      <c r="L326" s="145">
        <v>49</v>
      </c>
      <c r="M326" s="132">
        <v>6</v>
      </c>
      <c r="N326" s="141" t="s">
        <v>58</v>
      </c>
      <c r="O326" s="133">
        <v>49</v>
      </c>
      <c r="P326" s="134">
        <v>1</v>
      </c>
      <c r="Q326" s="141" t="s">
        <v>58</v>
      </c>
      <c r="R326" s="135">
        <f t="shared" si="7"/>
        <v>8.1666666666666661</v>
      </c>
    </row>
    <row r="327" spans="1:18" x14ac:dyDescent="0.2">
      <c r="A327" s="54">
        <v>244430</v>
      </c>
      <c r="B327" s="122" t="s">
        <v>821</v>
      </c>
      <c r="C327" s="128" t="s">
        <v>837</v>
      </c>
      <c r="D327" s="122"/>
      <c r="E327" s="128" t="s">
        <v>951</v>
      </c>
      <c r="F327" s="122"/>
      <c r="G327" s="128"/>
      <c r="H327" s="128"/>
      <c r="I327" s="156">
        <v>168</v>
      </c>
      <c r="J327" s="130">
        <v>2</v>
      </c>
      <c r="K327" s="131" t="s">
        <v>50</v>
      </c>
      <c r="L327" s="145">
        <v>84</v>
      </c>
      <c r="M327" s="132">
        <v>10</v>
      </c>
      <c r="N327" s="141" t="s">
        <v>58</v>
      </c>
      <c r="O327" s="133">
        <v>84</v>
      </c>
      <c r="P327" s="134">
        <v>1</v>
      </c>
      <c r="Q327" s="141" t="s">
        <v>58</v>
      </c>
      <c r="R327" s="135">
        <f t="shared" si="7"/>
        <v>8.4</v>
      </c>
    </row>
    <row r="328" spans="1:18" x14ac:dyDescent="0.2">
      <c r="A328" s="54">
        <v>244430</v>
      </c>
      <c r="B328" s="122" t="s">
        <v>821</v>
      </c>
      <c r="C328" s="128" t="s">
        <v>838</v>
      </c>
      <c r="D328" s="122"/>
      <c r="E328" s="128"/>
      <c r="F328" s="122"/>
      <c r="G328" s="128"/>
      <c r="H328" s="128"/>
      <c r="I328" s="156">
        <v>158</v>
      </c>
      <c r="J328" s="130">
        <v>1</v>
      </c>
      <c r="K328" s="131" t="s">
        <v>86</v>
      </c>
      <c r="L328" s="145">
        <v>158</v>
      </c>
      <c r="M328" s="132">
        <v>1000</v>
      </c>
      <c r="N328" s="141" t="s">
        <v>58</v>
      </c>
      <c r="O328" s="133">
        <v>158</v>
      </c>
      <c r="P328" s="134">
        <v>1</v>
      </c>
      <c r="Q328" s="141" t="s">
        <v>58</v>
      </c>
      <c r="R328" s="135">
        <f t="shared" si="7"/>
        <v>0.158</v>
      </c>
    </row>
    <row r="329" spans="1:18" x14ac:dyDescent="0.2">
      <c r="A329" s="54">
        <v>244430</v>
      </c>
      <c r="B329" s="122" t="s">
        <v>821</v>
      </c>
      <c r="C329" s="128" t="s">
        <v>839</v>
      </c>
      <c r="D329" s="122"/>
      <c r="E329" s="128"/>
      <c r="F329" s="122"/>
      <c r="G329" s="128"/>
      <c r="H329" s="128"/>
      <c r="I329" s="156">
        <v>130</v>
      </c>
      <c r="J329" s="130">
        <v>5</v>
      </c>
      <c r="K329" s="131" t="s">
        <v>54</v>
      </c>
      <c r="L329" s="145">
        <v>26</v>
      </c>
      <c r="M329" s="132">
        <v>1</v>
      </c>
      <c r="N329" s="141" t="s">
        <v>50</v>
      </c>
      <c r="O329" s="133">
        <v>26</v>
      </c>
      <c r="P329" s="134">
        <v>1</v>
      </c>
      <c r="Q329" s="141" t="s">
        <v>50</v>
      </c>
      <c r="R329" s="135">
        <f t="shared" si="7"/>
        <v>26</v>
      </c>
    </row>
    <row r="330" spans="1:18" x14ac:dyDescent="0.2">
      <c r="A330" s="54">
        <v>244430</v>
      </c>
      <c r="B330" s="122" t="s">
        <v>821</v>
      </c>
      <c r="C330" s="128" t="s">
        <v>840</v>
      </c>
      <c r="D330" s="122"/>
      <c r="E330" s="128"/>
      <c r="F330" s="122"/>
      <c r="G330" s="128"/>
      <c r="H330" s="128"/>
      <c r="I330" s="156">
        <v>30</v>
      </c>
      <c r="J330" s="130">
        <v>1</v>
      </c>
      <c r="K330" s="131" t="s">
        <v>50</v>
      </c>
      <c r="L330" s="145">
        <v>30</v>
      </c>
      <c r="M330" s="132">
        <v>10</v>
      </c>
      <c r="N330" s="141" t="s">
        <v>54</v>
      </c>
      <c r="O330" s="133">
        <v>30</v>
      </c>
      <c r="P330" s="134">
        <v>1</v>
      </c>
      <c r="Q330" s="141" t="s">
        <v>54</v>
      </c>
      <c r="R330" s="135">
        <f t="shared" si="7"/>
        <v>3</v>
      </c>
    </row>
    <row r="331" spans="1:18" x14ac:dyDescent="0.2">
      <c r="A331" s="54">
        <v>244430</v>
      </c>
      <c r="B331" s="122" t="s">
        <v>821</v>
      </c>
      <c r="C331" s="128" t="s">
        <v>806</v>
      </c>
      <c r="D331" s="122"/>
      <c r="E331" s="128"/>
      <c r="F331" s="122"/>
      <c r="G331" s="128"/>
      <c r="H331" s="128"/>
      <c r="I331" s="156">
        <v>568</v>
      </c>
      <c r="J331" s="130">
        <v>2</v>
      </c>
      <c r="K331" s="131" t="s">
        <v>50</v>
      </c>
      <c r="L331" s="145">
        <v>284</v>
      </c>
      <c r="M331" s="132">
        <v>30</v>
      </c>
      <c r="N331" s="141" t="s">
        <v>58</v>
      </c>
      <c r="O331" s="133">
        <v>284</v>
      </c>
      <c r="P331" s="134">
        <v>1</v>
      </c>
      <c r="Q331" s="141" t="s">
        <v>58</v>
      </c>
      <c r="R331" s="135">
        <f t="shared" si="7"/>
        <v>9.4666666666666668</v>
      </c>
    </row>
    <row r="332" spans="1:18" x14ac:dyDescent="0.2">
      <c r="A332" s="54">
        <v>244430</v>
      </c>
      <c r="B332" s="122" t="s">
        <v>821</v>
      </c>
      <c r="C332" s="128" t="s">
        <v>841</v>
      </c>
      <c r="D332" s="122"/>
      <c r="E332" s="128"/>
      <c r="F332" s="122"/>
      <c r="G332" s="128"/>
      <c r="H332" s="128"/>
      <c r="I332" s="156">
        <v>184</v>
      </c>
      <c r="J332" s="130">
        <v>1</v>
      </c>
      <c r="K332" s="131" t="s">
        <v>50</v>
      </c>
      <c r="L332" s="145">
        <v>184</v>
      </c>
      <c r="M332" s="132">
        <v>50</v>
      </c>
      <c r="N332" s="141" t="s">
        <v>54</v>
      </c>
      <c r="O332" s="133">
        <v>184</v>
      </c>
      <c r="P332" s="134">
        <v>1</v>
      </c>
      <c r="Q332" s="141" t="s">
        <v>54</v>
      </c>
      <c r="R332" s="135">
        <f t="shared" si="7"/>
        <v>3.68</v>
      </c>
    </row>
    <row r="333" spans="1:18" x14ac:dyDescent="0.2">
      <c r="A333" s="54">
        <v>244430</v>
      </c>
      <c r="B333" s="122" t="s">
        <v>821</v>
      </c>
      <c r="C333" s="128" t="s">
        <v>842</v>
      </c>
      <c r="D333" s="122"/>
      <c r="E333" s="128"/>
      <c r="F333" s="122"/>
      <c r="G333" s="128"/>
      <c r="H333" s="128"/>
      <c r="I333" s="156">
        <v>730</v>
      </c>
      <c r="J333" s="130">
        <v>1</v>
      </c>
      <c r="K333" s="131" t="s">
        <v>50</v>
      </c>
      <c r="L333" s="145">
        <v>730</v>
      </c>
      <c r="M333" s="132">
        <v>500</v>
      </c>
      <c r="N333" s="141" t="s">
        <v>58</v>
      </c>
      <c r="O333" s="133">
        <v>730</v>
      </c>
      <c r="P333" s="134">
        <v>1</v>
      </c>
      <c r="Q333" s="141" t="s">
        <v>58</v>
      </c>
      <c r="R333" s="135">
        <f t="shared" si="7"/>
        <v>1.46</v>
      </c>
    </row>
    <row r="334" spans="1:18" x14ac:dyDescent="0.2">
      <c r="A334" s="54">
        <v>244430</v>
      </c>
      <c r="B334" s="122" t="s">
        <v>821</v>
      </c>
      <c r="C334" s="128" t="s">
        <v>843</v>
      </c>
      <c r="D334" s="122"/>
      <c r="E334" s="128"/>
      <c r="F334" s="122"/>
      <c r="G334" s="128"/>
      <c r="H334" s="128"/>
      <c r="I334" s="156">
        <v>170</v>
      </c>
      <c r="J334" s="130">
        <v>1</v>
      </c>
      <c r="K334" s="131" t="s">
        <v>50</v>
      </c>
      <c r="L334" s="145">
        <v>170</v>
      </c>
      <c r="M334" s="132">
        <v>50</v>
      </c>
      <c r="N334" s="141" t="s">
        <v>162</v>
      </c>
      <c r="O334" s="133">
        <v>170</v>
      </c>
      <c r="P334" s="134">
        <v>1</v>
      </c>
      <c r="Q334" s="141" t="s">
        <v>162</v>
      </c>
      <c r="R334" s="135">
        <f t="shared" si="7"/>
        <v>3.4</v>
      </c>
    </row>
    <row r="335" spans="1:18" x14ac:dyDescent="0.2">
      <c r="A335" s="54">
        <v>244430</v>
      </c>
      <c r="B335" s="122" t="s">
        <v>821</v>
      </c>
      <c r="C335" s="128" t="s">
        <v>844</v>
      </c>
      <c r="D335" s="122"/>
      <c r="E335" s="128"/>
      <c r="F335" s="122"/>
      <c r="G335" s="128"/>
      <c r="H335" s="128"/>
      <c r="I335" s="156">
        <v>53.75</v>
      </c>
      <c r="J335" s="130">
        <v>1</v>
      </c>
      <c r="K335" s="131" t="s">
        <v>50</v>
      </c>
      <c r="L335" s="145">
        <v>53.75</v>
      </c>
      <c r="M335" s="132">
        <v>10</v>
      </c>
      <c r="N335" s="141" t="s">
        <v>58</v>
      </c>
      <c r="O335" s="133">
        <v>53.75</v>
      </c>
      <c r="P335" s="134">
        <v>1</v>
      </c>
      <c r="Q335" s="141" t="s">
        <v>58</v>
      </c>
      <c r="R335" s="135">
        <f t="shared" si="7"/>
        <v>5.375</v>
      </c>
    </row>
    <row r="336" spans="1:18" x14ac:dyDescent="0.2">
      <c r="A336" s="54">
        <v>244430</v>
      </c>
      <c r="B336" s="122" t="s">
        <v>821</v>
      </c>
      <c r="C336" s="128" t="s">
        <v>811</v>
      </c>
      <c r="D336" s="122"/>
      <c r="E336" s="128"/>
      <c r="F336" s="122"/>
      <c r="G336" s="128"/>
      <c r="H336" s="128"/>
      <c r="I336" s="156">
        <v>910</v>
      </c>
      <c r="J336" s="130">
        <v>10</v>
      </c>
      <c r="K336" s="131" t="s">
        <v>57</v>
      </c>
      <c r="L336" s="145">
        <v>91</v>
      </c>
      <c r="M336" s="132">
        <v>10</v>
      </c>
      <c r="N336" s="141" t="s">
        <v>58</v>
      </c>
      <c r="O336" s="133">
        <v>91</v>
      </c>
      <c r="P336" s="134">
        <v>1</v>
      </c>
      <c r="Q336" s="141" t="s">
        <v>58</v>
      </c>
      <c r="R336" s="135">
        <f t="shared" si="7"/>
        <v>9.1</v>
      </c>
    </row>
    <row r="337" spans="1:18" x14ac:dyDescent="0.2">
      <c r="A337" s="54">
        <v>244430</v>
      </c>
      <c r="B337" s="122" t="s">
        <v>821</v>
      </c>
      <c r="C337" s="128" t="s">
        <v>845</v>
      </c>
      <c r="D337" s="122"/>
      <c r="E337" s="128"/>
      <c r="F337" s="122"/>
      <c r="G337" s="128"/>
      <c r="H337" s="128"/>
      <c r="I337" s="156">
        <v>780</v>
      </c>
      <c r="J337" s="130">
        <v>10</v>
      </c>
      <c r="K337" s="131" t="s">
        <v>57</v>
      </c>
      <c r="L337" s="145">
        <v>78</v>
      </c>
      <c r="M337" s="132">
        <v>10</v>
      </c>
      <c r="N337" s="141" t="s">
        <v>58</v>
      </c>
      <c r="O337" s="133">
        <v>78</v>
      </c>
      <c r="P337" s="134">
        <v>1</v>
      </c>
      <c r="Q337" s="141" t="s">
        <v>58</v>
      </c>
      <c r="R337" s="135">
        <f t="shared" ref="R337:R402" si="8">O337/M337</f>
        <v>7.8</v>
      </c>
    </row>
    <row r="338" spans="1:18" x14ac:dyDescent="0.2">
      <c r="A338" s="54">
        <v>244430</v>
      </c>
      <c r="B338" s="122" t="s">
        <v>821</v>
      </c>
      <c r="C338" s="128" t="s">
        <v>846</v>
      </c>
      <c r="D338" s="122"/>
      <c r="E338" s="128"/>
      <c r="F338" s="122"/>
      <c r="G338" s="128"/>
      <c r="H338" s="128"/>
      <c r="I338" s="156">
        <v>323</v>
      </c>
      <c r="J338" s="130">
        <v>12</v>
      </c>
      <c r="K338" s="131" t="s">
        <v>50</v>
      </c>
      <c r="L338" s="145">
        <v>323</v>
      </c>
      <c r="M338" s="132">
        <v>12</v>
      </c>
      <c r="N338" s="141" t="s">
        <v>50</v>
      </c>
      <c r="O338" s="133">
        <v>323</v>
      </c>
      <c r="P338" s="134">
        <v>1</v>
      </c>
      <c r="Q338" s="141" t="s">
        <v>50</v>
      </c>
      <c r="R338" s="135">
        <f t="shared" si="8"/>
        <v>26.916666666666668</v>
      </c>
    </row>
    <row r="339" spans="1:18" x14ac:dyDescent="0.2">
      <c r="A339" s="54">
        <v>244430</v>
      </c>
      <c r="B339" s="122" t="s">
        <v>821</v>
      </c>
      <c r="C339" s="128" t="s">
        <v>814</v>
      </c>
      <c r="D339" s="122"/>
      <c r="E339" s="128"/>
      <c r="F339" s="122"/>
      <c r="G339" s="128"/>
      <c r="H339" s="128"/>
      <c r="I339" s="156">
        <v>109</v>
      </c>
      <c r="J339" s="130">
        <v>10</v>
      </c>
      <c r="K339" s="131" t="s">
        <v>57</v>
      </c>
      <c r="L339" s="145">
        <v>109</v>
      </c>
      <c r="M339" s="132">
        <v>10</v>
      </c>
      <c r="N339" s="141" t="s">
        <v>54</v>
      </c>
      <c r="O339" s="133">
        <v>109</v>
      </c>
      <c r="P339" s="134">
        <v>1</v>
      </c>
      <c r="Q339" s="141" t="s">
        <v>54</v>
      </c>
      <c r="R339" s="135">
        <f t="shared" si="8"/>
        <v>10.9</v>
      </c>
    </row>
    <row r="340" spans="1:18" x14ac:dyDescent="0.2">
      <c r="A340" s="54">
        <v>244430</v>
      </c>
      <c r="B340" s="122" t="s">
        <v>821</v>
      </c>
      <c r="C340" s="128" t="s">
        <v>815</v>
      </c>
      <c r="D340" s="122"/>
      <c r="E340" s="128"/>
      <c r="F340" s="122"/>
      <c r="G340" s="128"/>
      <c r="H340" s="128"/>
      <c r="I340" s="156">
        <v>309</v>
      </c>
      <c r="J340" s="130">
        <v>12</v>
      </c>
      <c r="K340" s="131" t="s">
        <v>50</v>
      </c>
      <c r="L340" s="145">
        <v>309</v>
      </c>
      <c r="M340" s="132">
        <v>12</v>
      </c>
      <c r="N340" s="141" t="s">
        <v>50</v>
      </c>
      <c r="O340" s="133">
        <v>309</v>
      </c>
      <c r="P340" s="134">
        <v>1</v>
      </c>
      <c r="Q340" s="141" t="s">
        <v>50</v>
      </c>
      <c r="R340" s="135">
        <f t="shared" si="8"/>
        <v>25.75</v>
      </c>
    </row>
    <row r="341" spans="1:18" x14ac:dyDescent="0.2">
      <c r="A341" s="54">
        <v>244430</v>
      </c>
      <c r="B341" s="122" t="s">
        <v>821</v>
      </c>
      <c r="C341" s="128" t="s">
        <v>327</v>
      </c>
      <c r="D341" s="122"/>
      <c r="E341" s="128"/>
      <c r="F341" s="122"/>
      <c r="G341" s="128"/>
      <c r="H341" s="128"/>
      <c r="I341" s="156">
        <v>161.25</v>
      </c>
      <c r="J341" s="130">
        <v>5</v>
      </c>
      <c r="K341" s="131" t="s">
        <v>50</v>
      </c>
      <c r="L341" s="145">
        <v>32.25</v>
      </c>
      <c r="M341" s="132">
        <v>100</v>
      </c>
      <c r="N341" s="141" t="s">
        <v>58</v>
      </c>
      <c r="O341" s="133">
        <v>32.25</v>
      </c>
      <c r="P341" s="134">
        <v>1</v>
      </c>
      <c r="Q341" s="141" t="s">
        <v>58</v>
      </c>
      <c r="R341" s="135">
        <f t="shared" si="8"/>
        <v>0.32250000000000001</v>
      </c>
    </row>
    <row r="342" spans="1:18" x14ac:dyDescent="0.2">
      <c r="A342" s="54">
        <v>244430</v>
      </c>
      <c r="B342" s="122" t="s">
        <v>821</v>
      </c>
      <c r="C342" s="128" t="s">
        <v>847</v>
      </c>
      <c r="D342" s="122"/>
      <c r="E342" s="128"/>
      <c r="F342" s="122"/>
      <c r="G342" s="128"/>
      <c r="H342" s="128"/>
      <c r="I342" s="156">
        <v>166</v>
      </c>
      <c r="J342" s="130">
        <v>2</v>
      </c>
      <c r="K342" s="131" t="s">
        <v>50</v>
      </c>
      <c r="L342" s="145">
        <v>83</v>
      </c>
      <c r="M342" s="132">
        <v>10</v>
      </c>
      <c r="N342" s="141" t="s">
        <v>162</v>
      </c>
      <c r="O342" s="133">
        <v>83</v>
      </c>
      <c r="P342" s="134">
        <v>1</v>
      </c>
      <c r="Q342" s="141" t="s">
        <v>162</v>
      </c>
      <c r="R342" s="135">
        <f t="shared" si="8"/>
        <v>8.3000000000000007</v>
      </c>
    </row>
    <row r="343" spans="1:18" x14ac:dyDescent="0.2">
      <c r="A343" s="54">
        <v>244430</v>
      </c>
      <c r="B343" s="122" t="s">
        <v>821</v>
      </c>
      <c r="C343" s="128" t="s">
        <v>848</v>
      </c>
      <c r="D343" s="122"/>
      <c r="E343" s="128"/>
      <c r="F343" s="122"/>
      <c r="G343" s="128"/>
      <c r="H343" s="128"/>
      <c r="I343" s="156">
        <v>100</v>
      </c>
      <c r="J343" s="130">
        <v>1</v>
      </c>
      <c r="K343" s="131" t="s">
        <v>50</v>
      </c>
      <c r="L343" s="145">
        <v>100</v>
      </c>
      <c r="M343" s="132">
        <v>60</v>
      </c>
      <c r="N343" s="141" t="s">
        <v>162</v>
      </c>
      <c r="O343" s="133">
        <v>100</v>
      </c>
      <c r="P343" s="134">
        <v>1</v>
      </c>
      <c r="Q343" s="141" t="s">
        <v>162</v>
      </c>
      <c r="R343" s="135">
        <f t="shared" si="8"/>
        <v>1.6666666666666667</v>
      </c>
    </row>
    <row r="344" spans="1:18" x14ac:dyDescent="0.2">
      <c r="A344" s="54">
        <v>244430</v>
      </c>
      <c r="B344" s="122" t="s">
        <v>821</v>
      </c>
      <c r="C344" s="128" t="s">
        <v>819</v>
      </c>
      <c r="D344" s="122"/>
      <c r="E344" s="128"/>
      <c r="F344" s="122"/>
      <c r="G344" s="128"/>
      <c r="H344" s="128"/>
      <c r="I344" s="156">
        <v>160</v>
      </c>
      <c r="J344" s="130">
        <v>5</v>
      </c>
      <c r="K344" s="131" t="s">
        <v>54</v>
      </c>
      <c r="L344" s="145">
        <v>32</v>
      </c>
      <c r="M344" s="132">
        <v>1</v>
      </c>
      <c r="N344" s="141" t="s">
        <v>54</v>
      </c>
      <c r="O344" s="133">
        <v>32</v>
      </c>
      <c r="P344" s="134">
        <v>1</v>
      </c>
      <c r="Q344" s="141" t="s">
        <v>54</v>
      </c>
      <c r="R344" s="135">
        <f t="shared" si="8"/>
        <v>32</v>
      </c>
    </row>
    <row r="345" spans="1:18" x14ac:dyDescent="0.2">
      <c r="A345" s="54">
        <v>244430</v>
      </c>
      <c r="B345" s="122" t="s">
        <v>821</v>
      </c>
      <c r="C345" s="128" t="s">
        <v>348</v>
      </c>
      <c r="D345" s="122"/>
      <c r="E345" s="128"/>
      <c r="F345" s="122"/>
      <c r="G345" s="128"/>
      <c r="H345" s="128"/>
      <c r="I345" s="156">
        <v>334</v>
      </c>
      <c r="J345" s="130">
        <v>2</v>
      </c>
      <c r="K345" s="131" t="s">
        <v>50</v>
      </c>
      <c r="L345" s="145">
        <v>167</v>
      </c>
      <c r="M345" s="132">
        <v>30</v>
      </c>
      <c r="N345" s="141" t="s">
        <v>58</v>
      </c>
      <c r="O345" s="133">
        <v>167</v>
      </c>
      <c r="P345" s="134">
        <v>1</v>
      </c>
      <c r="Q345" s="141" t="s">
        <v>58</v>
      </c>
      <c r="R345" s="135">
        <f t="shared" si="8"/>
        <v>5.5666666666666664</v>
      </c>
    </row>
    <row r="346" spans="1:18" x14ac:dyDescent="0.2">
      <c r="A346" s="54">
        <v>244430</v>
      </c>
      <c r="B346" s="122" t="s">
        <v>821</v>
      </c>
      <c r="C346" s="128" t="s">
        <v>849</v>
      </c>
      <c r="D346" s="122"/>
      <c r="E346" s="128"/>
      <c r="F346" s="122"/>
      <c r="G346" s="128"/>
      <c r="H346" s="128"/>
      <c r="I346" s="156">
        <v>585</v>
      </c>
      <c r="J346" s="130">
        <v>1</v>
      </c>
      <c r="K346" s="131" t="s">
        <v>50</v>
      </c>
      <c r="L346" s="145">
        <v>585</v>
      </c>
      <c r="M346" s="132">
        <v>500</v>
      </c>
      <c r="N346" s="141" t="s">
        <v>58</v>
      </c>
      <c r="O346" s="133">
        <v>585</v>
      </c>
      <c r="P346" s="134">
        <v>1</v>
      </c>
      <c r="Q346" s="141" t="s">
        <v>58</v>
      </c>
      <c r="R346" s="135">
        <f t="shared" si="8"/>
        <v>1.17</v>
      </c>
    </row>
    <row r="347" spans="1:18" x14ac:dyDescent="0.2">
      <c r="A347" s="54">
        <v>244430</v>
      </c>
      <c r="B347" s="122" t="s">
        <v>821</v>
      </c>
      <c r="C347" s="128" t="s">
        <v>850</v>
      </c>
      <c r="D347" s="122"/>
      <c r="E347" s="128"/>
      <c r="F347" s="122"/>
      <c r="G347" s="128"/>
      <c r="H347" s="128"/>
      <c r="I347" s="156">
        <v>102</v>
      </c>
      <c r="J347" s="130">
        <v>1</v>
      </c>
      <c r="K347" s="131" t="s">
        <v>50</v>
      </c>
      <c r="L347" s="145">
        <v>102</v>
      </c>
      <c r="M347" s="132">
        <v>10</v>
      </c>
      <c r="N347" s="141" t="s">
        <v>54</v>
      </c>
      <c r="O347" s="133">
        <v>102</v>
      </c>
      <c r="P347" s="134">
        <v>1</v>
      </c>
      <c r="Q347" s="141" t="s">
        <v>54</v>
      </c>
      <c r="R347" s="135">
        <f t="shared" si="8"/>
        <v>10.199999999999999</v>
      </c>
    </row>
    <row r="348" spans="1:18" x14ac:dyDescent="0.2">
      <c r="A348" s="54">
        <v>244335</v>
      </c>
      <c r="B348" s="122" t="s">
        <v>821</v>
      </c>
      <c r="C348" s="128" t="s">
        <v>851</v>
      </c>
      <c r="D348" s="122"/>
      <c r="E348" s="128"/>
      <c r="F348" s="122"/>
      <c r="G348" s="128"/>
      <c r="H348" s="128"/>
      <c r="I348" s="156">
        <v>480</v>
      </c>
      <c r="J348" s="130">
        <v>10</v>
      </c>
      <c r="K348" s="131" t="s">
        <v>50</v>
      </c>
      <c r="L348" s="145">
        <v>48</v>
      </c>
      <c r="M348" s="132">
        <v>6</v>
      </c>
      <c r="N348" s="141" t="s">
        <v>58</v>
      </c>
      <c r="O348" s="133">
        <v>48</v>
      </c>
      <c r="P348" s="134">
        <v>1</v>
      </c>
      <c r="Q348" s="141" t="s">
        <v>58</v>
      </c>
      <c r="R348" s="135">
        <f t="shared" si="8"/>
        <v>8</v>
      </c>
    </row>
    <row r="349" spans="1:18" x14ac:dyDescent="0.2">
      <c r="A349" s="54">
        <v>244335</v>
      </c>
      <c r="B349" s="122" t="s">
        <v>821</v>
      </c>
      <c r="C349" s="128" t="s">
        <v>852</v>
      </c>
      <c r="D349" s="122"/>
      <c r="E349" s="128"/>
      <c r="F349" s="122"/>
      <c r="G349" s="128"/>
      <c r="H349" s="128"/>
      <c r="I349" s="156">
        <v>472</v>
      </c>
      <c r="J349" s="130">
        <v>4</v>
      </c>
      <c r="K349" s="131" t="s">
        <v>50</v>
      </c>
      <c r="L349" s="145">
        <v>118</v>
      </c>
      <c r="M349" s="132">
        <v>100</v>
      </c>
      <c r="N349" s="141" t="s">
        <v>58</v>
      </c>
      <c r="O349" s="133">
        <v>118</v>
      </c>
      <c r="P349" s="134">
        <v>1</v>
      </c>
      <c r="Q349" s="141" t="s">
        <v>58</v>
      </c>
      <c r="R349" s="135">
        <f t="shared" si="8"/>
        <v>1.18</v>
      </c>
    </row>
    <row r="350" spans="1:18" x14ac:dyDescent="0.2">
      <c r="A350" s="54">
        <v>244335</v>
      </c>
      <c r="B350" s="122" t="s">
        <v>821</v>
      </c>
      <c r="C350" s="128" t="s">
        <v>853</v>
      </c>
      <c r="D350" s="122"/>
      <c r="E350" s="128"/>
      <c r="F350" s="122"/>
      <c r="G350" s="128"/>
      <c r="H350" s="128"/>
      <c r="I350" s="156">
        <v>92</v>
      </c>
      <c r="J350" s="130">
        <v>1</v>
      </c>
      <c r="K350" s="131" t="s">
        <v>50</v>
      </c>
      <c r="L350" s="145">
        <v>92</v>
      </c>
      <c r="M350" s="132">
        <v>10</v>
      </c>
      <c r="N350" s="141" t="s">
        <v>54</v>
      </c>
      <c r="O350" s="133">
        <v>92</v>
      </c>
      <c r="P350" s="134">
        <v>1</v>
      </c>
      <c r="Q350" s="141" t="s">
        <v>54</v>
      </c>
      <c r="R350" s="135">
        <f t="shared" si="8"/>
        <v>9.1999999999999993</v>
      </c>
    </row>
    <row r="351" spans="1:18" x14ac:dyDescent="0.2">
      <c r="A351" s="54">
        <v>244335</v>
      </c>
      <c r="B351" s="122" t="s">
        <v>821</v>
      </c>
      <c r="C351" s="128" t="s">
        <v>854</v>
      </c>
      <c r="D351" s="122"/>
      <c r="E351" s="128"/>
      <c r="F351" s="122"/>
      <c r="G351" s="128"/>
      <c r="H351" s="128"/>
      <c r="I351" s="156">
        <v>1370</v>
      </c>
      <c r="J351" s="130">
        <v>10</v>
      </c>
      <c r="K351" s="131" t="s">
        <v>54</v>
      </c>
      <c r="L351" s="145">
        <v>137</v>
      </c>
      <c r="M351" s="132">
        <v>1</v>
      </c>
      <c r="N351" s="141" t="s">
        <v>54</v>
      </c>
      <c r="O351" s="133">
        <v>137</v>
      </c>
      <c r="P351" s="134">
        <v>1</v>
      </c>
      <c r="Q351" s="141" t="s">
        <v>54</v>
      </c>
      <c r="R351" s="135">
        <f t="shared" si="8"/>
        <v>137</v>
      </c>
    </row>
    <row r="352" spans="1:18" x14ac:dyDescent="0.2">
      <c r="A352" s="54">
        <v>244335</v>
      </c>
      <c r="B352" s="122" t="s">
        <v>821</v>
      </c>
      <c r="C352" s="128" t="s">
        <v>855</v>
      </c>
      <c r="D352" s="122"/>
      <c r="E352" s="128"/>
      <c r="F352" s="122"/>
      <c r="G352" s="128"/>
      <c r="H352" s="128"/>
      <c r="I352" s="156">
        <v>0</v>
      </c>
      <c r="J352" s="130">
        <v>3</v>
      </c>
      <c r="K352" s="131" t="s">
        <v>51</v>
      </c>
      <c r="L352" s="145">
        <v>0</v>
      </c>
      <c r="M352" s="132">
        <v>3</v>
      </c>
      <c r="N352" s="141" t="s">
        <v>51</v>
      </c>
      <c r="O352" s="133">
        <v>0</v>
      </c>
      <c r="P352" s="134">
        <v>1</v>
      </c>
      <c r="Q352" s="141" t="s">
        <v>51</v>
      </c>
      <c r="R352" s="135">
        <f t="shared" si="8"/>
        <v>0</v>
      </c>
    </row>
    <row r="353" spans="1:18" x14ac:dyDescent="0.2">
      <c r="A353" s="54">
        <v>243954</v>
      </c>
      <c r="B353" s="122" t="s">
        <v>821</v>
      </c>
      <c r="C353" s="128" t="s">
        <v>873</v>
      </c>
      <c r="D353" s="122"/>
      <c r="E353" s="128" t="s">
        <v>938</v>
      </c>
      <c r="F353" s="122"/>
      <c r="G353" s="128"/>
      <c r="H353" s="128"/>
      <c r="I353" s="156">
        <v>160</v>
      </c>
      <c r="J353" s="130">
        <v>12</v>
      </c>
      <c r="K353" s="131" t="s">
        <v>50</v>
      </c>
      <c r="L353" s="145">
        <v>160</v>
      </c>
      <c r="M353" s="132">
        <v>12</v>
      </c>
      <c r="N353" s="141" t="s">
        <v>50</v>
      </c>
      <c r="O353" s="133">
        <v>160</v>
      </c>
      <c r="P353" s="134">
        <v>1</v>
      </c>
      <c r="Q353" s="141" t="s">
        <v>50</v>
      </c>
      <c r="R353" s="135">
        <f t="shared" si="8"/>
        <v>13.333333333333334</v>
      </c>
    </row>
    <row r="354" spans="1:18" ht="16.5" x14ac:dyDescent="0.2">
      <c r="A354" s="54">
        <v>243954</v>
      </c>
      <c r="B354" s="122" t="s">
        <v>821</v>
      </c>
      <c r="C354" s="128" t="s">
        <v>874</v>
      </c>
      <c r="D354" s="122"/>
      <c r="E354" s="41" t="s">
        <v>143</v>
      </c>
      <c r="F354" s="122"/>
      <c r="G354" s="128"/>
      <c r="H354" s="128"/>
      <c r="I354" s="156">
        <v>250</v>
      </c>
      <c r="J354" s="130">
        <v>20</v>
      </c>
      <c r="K354" s="131" t="s">
        <v>57</v>
      </c>
      <c r="L354" s="145">
        <v>12.5</v>
      </c>
      <c r="M354" s="132">
        <v>10</v>
      </c>
      <c r="N354" s="141" t="s">
        <v>58</v>
      </c>
      <c r="O354" s="133">
        <v>12.5</v>
      </c>
      <c r="P354" s="134">
        <v>1</v>
      </c>
      <c r="Q354" s="141" t="s">
        <v>58</v>
      </c>
      <c r="R354" s="135">
        <f t="shared" si="8"/>
        <v>1.25</v>
      </c>
    </row>
    <row r="355" spans="1:18" x14ac:dyDescent="0.2">
      <c r="A355" s="54">
        <v>243954</v>
      </c>
      <c r="B355" s="122" t="s">
        <v>821</v>
      </c>
      <c r="C355" s="128" t="s">
        <v>875</v>
      </c>
      <c r="D355" s="122">
        <v>2</v>
      </c>
      <c r="E355" s="128" t="s">
        <v>22</v>
      </c>
      <c r="F355" s="122"/>
      <c r="G355" s="128"/>
      <c r="H355" s="128"/>
      <c r="I355" s="156">
        <v>60</v>
      </c>
      <c r="J355" s="130">
        <v>1</v>
      </c>
      <c r="K355" s="131" t="s">
        <v>50</v>
      </c>
      <c r="L355" s="145">
        <v>60</v>
      </c>
      <c r="M355" s="132">
        <v>100</v>
      </c>
      <c r="N355" s="141" t="s">
        <v>58</v>
      </c>
      <c r="O355" s="133">
        <v>60</v>
      </c>
      <c r="P355" s="134">
        <v>1</v>
      </c>
      <c r="Q355" s="141" t="s">
        <v>58</v>
      </c>
      <c r="R355" s="135">
        <f t="shared" si="8"/>
        <v>0.6</v>
      </c>
    </row>
    <row r="356" spans="1:18" x14ac:dyDescent="0.2">
      <c r="A356" s="54">
        <v>243954</v>
      </c>
      <c r="B356" s="122" t="s">
        <v>821</v>
      </c>
      <c r="C356" s="128" t="s">
        <v>876</v>
      </c>
      <c r="D356" s="48">
        <v>9</v>
      </c>
      <c r="E356" s="47" t="s">
        <v>941</v>
      </c>
      <c r="F356" s="122"/>
      <c r="G356" s="128"/>
      <c r="H356" s="128"/>
      <c r="I356" s="156">
        <v>510</v>
      </c>
      <c r="J356" s="130">
        <v>5</v>
      </c>
      <c r="K356" s="131" t="s">
        <v>50</v>
      </c>
      <c r="L356" s="145">
        <v>102</v>
      </c>
      <c r="M356" s="132">
        <v>10</v>
      </c>
      <c r="N356" s="141" t="s">
        <v>58</v>
      </c>
      <c r="O356" s="133">
        <v>102</v>
      </c>
      <c r="P356" s="134">
        <v>1</v>
      </c>
      <c r="Q356" s="141" t="s">
        <v>58</v>
      </c>
      <c r="R356" s="135">
        <f t="shared" si="8"/>
        <v>10.199999999999999</v>
      </c>
    </row>
    <row r="357" spans="1:18" x14ac:dyDescent="0.2">
      <c r="A357" s="54">
        <v>243954</v>
      </c>
      <c r="B357" s="122" t="s">
        <v>821</v>
      </c>
      <c r="C357" s="128" t="s">
        <v>506</v>
      </c>
      <c r="D357" s="96">
        <v>2</v>
      </c>
      <c r="E357" s="47" t="s">
        <v>714</v>
      </c>
      <c r="F357" s="48"/>
      <c r="G357" s="47"/>
      <c r="H357" s="47"/>
      <c r="I357" s="156">
        <v>59</v>
      </c>
      <c r="J357" s="130">
        <v>1</v>
      </c>
      <c r="K357" s="131" t="s">
        <v>50</v>
      </c>
      <c r="L357" s="145">
        <v>59</v>
      </c>
      <c r="M357" s="132">
        <v>100</v>
      </c>
      <c r="N357" s="141" t="s">
        <v>58</v>
      </c>
      <c r="O357" s="133">
        <v>59</v>
      </c>
      <c r="P357" s="134">
        <v>1</v>
      </c>
      <c r="Q357" s="141" t="s">
        <v>58</v>
      </c>
      <c r="R357" s="135">
        <f t="shared" si="8"/>
        <v>0.59</v>
      </c>
    </row>
    <row r="358" spans="1:18" x14ac:dyDescent="0.2">
      <c r="A358" s="54">
        <v>243954</v>
      </c>
      <c r="B358" s="122" t="s">
        <v>821</v>
      </c>
      <c r="C358" s="128" t="s">
        <v>877</v>
      </c>
      <c r="D358" s="48"/>
      <c r="E358" s="47" t="s">
        <v>100</v>
      </c>
      <c r="F358" s="48"/>
      <c r="G358" s="47"/>
      <c r="H358" s="47"/>
      <c r="I358" s="156">
        <v>150</v>
      </c>
      <c r="J358" s="130">
        <v>1</v>
      </c>
      <c r="K358" s="131" t="s">
        <v>50</v>
      </c>
      <c r="L358" s="145">
        <v>150</v>
      </c>
      <c r="M358" s="132"/>
      <c r="N358" s="141"/>
      <c r="O358" s="133"/>
      <c r="P358" s="134"/>
      <c r="Q358" s="141"/>
      <c r="R358" s="135" t="e">
        <f t="shared" si="8"/>
        <v>#DIV/0!</v>
      </c>
    </row>
    <row r="359" spans="1:18" x14ac:dyDescent="0.2">
      <c r="A359" s="54">
        <v>243954</v>
      </c>
      <c r="B359" s="122" t="s">
        <v>821</v>
      </c>
      <c r="C359" s="128" t="s">
        <v>878</v>
      </c>
      <c r="D359" s="48"/>
      <c r="E359" s="47" t="s">
        <v>942</v>
      </c>
      <c r="F359" s="48"/>
      <c r="G359" s="47"/>
      <c r="H359" s="47"/>
      <c r="I359" s="156">
        <v>228</v>
      </c>
      <c r="J359" s="130">
        <v>1</v>
      </c>
      <c r="K359" s="131" t="s">
        <v>57</v>
      </c>
      <c r="L359" s="145">
        <v>228</v>
      </c>
      <c r="M359" s="132"/>
      <c r="N359" s="141"/>
      <c r="O359" s="133"/>
      <c r="P359" s="134"/>
      <c r="Q359" s="141"/>
      <c r="R359" s="135" t="e">
        <f t="shared" si="8"/>
        <v>#DIV/0!</v>
      </c>
    </row>
    <row r="360" spans="1:18" x14ac:dyDescent="0.2">
      <c r="A360" s="54">
        <v>243954</v>
      </c>
      <c r="B360" s="122" t="s">
        <v>821</v>
      </c>
      <c r="C360" s="128" t="s">
        <v>879</v>
      </c>
      <c r="D360" s="48"/>
      <c r="E360" s="47"/>
      <c r="F360" s="48"/>
      <c r="G360" s="47"/>
      <c r="H360" s="47"/>
      <c r="I360" s="156">
        <v>314</v>
      </c>
      <c r="J360" s="130">
        <v>1</v>
      </c>
      <c r="K360" s="131" t="s">
        <v>50</v>
      </c>
      <c r="L360" s="145">
        <v>314</v>
      </c>
      <c r="M360" s="132"/>
      <c r="N360" s="141"/>
      <c r="O360" s="133"/>
      <c r="P360" s="134"/>
      <c r="Q360" s="141"/>
      <c r="R360" s="135" t="e">
        <f t="shared" si="8"/>
        <v>#DIV/0!</v>
      </c>
    </row>
    <row r="361" spans="1:18" x14ac:dyDescent="0.2">
      <c r="A361" s="54">
        <v>243954</v>
      </c>
      <c r="B361" s="122" t="s">
        <v>821</v>
      </c>
      <c r="C361" s="128" t="s">
        <v>880</v>
      </c>
      <c r="D361" s="48">
        <v>5</v>
      </c>
      <c r="E361" s="47" t="s">
        <v>10</v>
      </c>
      <c r="F361" s="48"/>
      <c r="G361" s="47"/>
      <c r="H361" s="47"/>
      <c r="I361" s="156">
        <v>174</v>
      </c>
      <c r="J361" s="130">
        <v>1</v>
      </c>
      <c r="K361" s="131" t="s">
        <v>86</v>
      </c>
      <c r="L361" s="145">
        <v>174</v>
      </c>
      <c r="M361" s="132">
        <v>1000</v>
      </c>
      <c r="N361" s="141" t="s">
        <v>58</v>
      </c>
      <c r="O361" s="133">
        <v>174</v>
      </c>
      <c r="P361" s="134">
        <v>1</v>
      </c>
      <c r="Q361" s="141" t="s">
        <v>58</v>
      </c>
      <c r="R361" s="135">
        <f t="shared" si="8"/>
        <v>0.17399999999999999</v>
      </c>
    </row>
    <row r="362" spans="1:18" x14ac:dyDescent="0.2">
      <c r="A362" s="54">
        <v>243954</v>
      </c>
      <c r="B362" s="122" t="s">
        <v>821</v>
      </c>
      <c r="C362" s="128" t="s">
        <v>881</v>
      </c>
      <c r="D362" s="48"/>
      <c r="E362" s="47" t="s">
        <v>102</v>
      </c>
      <c r="F362" s="48"/>
      <c r="G362" s="47"/>
      <c r="H362" s="47"/>
      <c r="I362" s="156">
        <v>54.75</v>
      </c>
      <c r="J362" s="130">
        <v>1</v>
      </c>
      <c r="K362" s="131" t="s">
        <v>50</v>
      </c>
      <c r="L362" s="145">
        <v>54.75</v>
      </c>
      <c r="M362" s="132"/>
      <c r="N362" s="141"/>
      <c r="O362" s="133"/>
      <c r="P362" s="134"/>
      <c r="Q362" s="141"/>
      <c r="R362" s="135" t="e">
        <f t="shared" si="8"/>
        <v>#DIV/0!</v>
      </c>
    </row>
    <row r="363" spans="1:18" x14ac:dyDescent="0.2">
      <c r="A363" s="54">
        <v>243954</v>
      </c>
      <c r="B363" s="122" t="s">
        <v>821</v>
      </c>
      <c r="C363" s="128" t="s">
        <v>882</v>
      </c>
      <c r="D363" s="48"/>
      <c r="E363" s="47" t="s">
        <v>102</v>
      </c>
      <c r="F363" s="48"/>
      <c r="G363" s="47"/>
      <c r="H363" s="47"/>
      <c r="I363" s="156">
        <v>219</v>
      </c>
      <c r="J363" s="130">
        <v>4</v>
      </c>
      <c r="K363" s="131" t="s">
        <v>50</v>
      </c>
      <c r="L363" s="145">
        <v>54.75</v>
      </c>
      <c r="M363" s="132"/>
      <c r="N363" s="141"/>
      <c r="O363" s="133"/>
      <c r="P363" s="134"/>
      <c r="Q363" s="141"/>
      <c r="R363" s="135" t="e">
        <f t="shared" si="8"/>
        <v>#DIV/0!</v>
      </c>
    </row>
    <row r="364" spans="1:18" x14ac:dyDescent="0.2">
      <c r="A364" s="54">
        <v>243954</v>
      </c>
      <c r="B364" s="122" t="s">
        <v>821</v>
      </c>
      <c r="C364" s="128" t="s">
        <v>801</v>
      </c>
      <c r="D364" s="48"/>
      <c r="E364" s="47" t="s">
        <v>944</v>
      </c>
      <c r="F364" s="48"/>
      <c r="G364" s="47"/>
      <c r="H364" s="47"/>
      <c r="I364" s="156">
        <v>270</v>
      </c>
      <c r="J364" s="130">
        <v>5</v>
      </c>
      <c r="K364" s="131" t="s">
        <v>50</v>
      </c>
      <c r="L364" s="145">
        <v>54</v>
      </c>
      <c r="M364" s="132">
        <v>6</v>
      </c>
      <c r="N364" s="141" t="s">
        <v>58</v>
      </c>
      <c r="O364" s="133">
        <v>54</v>
      </c>
      <c r="P364" s="134">
        <v>1</v>
      </c>
      <c r="Q364" s="141" t="s">
        <v>58</v>
      </c>
      <c r="R364" s="135">
        <f t="shared" si="8"/>
        <v>9</v>
      </c>
    </row>
    <row r="365" spans="1:18" x14ac:dyDescent="0.2">
      <c r="A365" s="54">
        <v>243954</v>
      </c>
      <c r="B365" s="122" t="s">
        <v>821</v>
      </c>
      <c r="C365" s="128" t="s">
        <v>883</v>
      </c>
      <c r="D365" s="48"/>
      <c r="E365" s="47" t="s">
        <v>945</v>
      </c>
      <c r="F365" s="48"/>
      <c r="G365" s="47"/>
      <c r="H365" s="47"/>
      <c r="I365" s="156">
        <v>252</v>
      </c>
      <c r="J365" s="130">
        <v>1</v>
      </c>
      <c r="K365" s="131" t="s">
        <v>50</v>
      </c>
      <c r="L365" s="145">
        <v>252</v>
      </c>
      <c r="M365" s="132">
        <v>100</v>
      </c>
      <c r="N365" s="141" t="s">
        <v>58</v>
      </c>
      <c r="O365" s="133">
        <v>252</v>
      </c>
      <c r="P365" s="134">
        <v>1</v>
      </c>
      <c r="Q365" s="141" t="s">
        <v>58</v>
      </c>
      <c r="R365" s="135">
        <f t="shared" si="8"/>
        <v>2.52</v>
      </c>
    </row>
    <row r="366" spans="1:18" x14ac:dyDescent="0.2">
      <c r="A366" s="54">
        <v>243954</v>
      </c>
      <c r="B366" s="122" t="s">
        <v>821</v>
      </c>
      <c r="C366" s="128" t="s">
        <v>884</v>
      </c>
      <c r="D366" s="48"/>
      <c r="E366" s="47" t="s">
        <v>70</v>
      </c>
      <c r="F366" s="49" t="s">
        <v>540</v>
      </c>
      <c r="G366" s="47" t="s">
        <v>539</v>
      </c>
      <c r="H366" s="47"/>
      <c r="I366" s="156">
        <v>50</v>
      </c>
      <c r="J366" s="130">
        <v>10</v>
      </c>
      <c r="K366" s="131" t="s">
        <v>57</v>
      </c>
      <c r="L366" s="145">
        <v>5</v>
      </c>
      <c r="M366" s="132">
        <v>10</v>
      </c>
      <c r="N366" s="141" t="s">
        <v>58</v>
      </c>
      <c r="O366" s="133">
        <v>5</v>
      </c>
      <c r="P366" s="134">
        <v>1</v>
      </c>
      <c r="Q366" s="141" t="s">
        <v>58</v>
      </c>
      <c r="R366" s="135">
        <f t="shared" si="8"/>
        <v>0.5</v>
      </c>
    </row>
    <row r="367" spans="1:18" x14ac:dyDescent="0.2">
      <c r="A367" s="54">
        <v>243954</v>
      </c>
      <c r="B367" s="122" t="s">
        <v>821</v>
      </c>
      <c r="C367" s="128" t="s">
        <v>885</v>
      </c>
      <c r="D367" s="48"/>
      <c r="E367" s="47" t="s">
        <v>948</v>
      </c>
      <c r="F367" s="48"/>
      <c r="G367" s="47"/>
      <c r="H367" s="47"/>
      <c r="I367" s="156">
        <v>70.5</v>
      </c>
      <c r="J367" s="130">
        <v>6</v>
      </c>
      <c r="K367" s="131" t="s">
        <v>51</v>
      </c>
      <c r="L367" s="145">
        <v>11.75</v>
      </c>
      <c r="M367" s="132">
        <v>1</v>
      </c>
      <c r="N367" s="141" t="s">
        <v>51</v>
      </c>
      <c r="O367" s="133">
        <v>11.75</v>
      </c>
      <c r="P367" s="134">
        <v>1</v>
      </c>
      <c r="Q367" s="141" t="s">
        <v>51</v>
      </c>
      <c r="R367" s="135">
        <f t="shared" si="8"/>
        <v>11.75</v>
      </c>
    </row>
    <row r="368" spans="1:18" x14ac:dyDescent="0.2">
      <c r="A368" s="54">
        <v>243954</v>
      </c>
      <c r="B368" s="122" t="s">
        <v>821</v>
      </c>
      <c r="C368" s="128" t="s">
        <v>886</v>
      </c>
      <c r="D368" s="48"/>
      <c r="E368" s="47" t="s">
        <v>949</v>
      </c>
      <c r="F368" s="48"/>
      <c r="G368" s="47"/>
      <c r="H368" s="47"/>
      <c r="I368" s="156">
        <v>164</v>
      </c>
      <c r="J368" s="130">
        <v>12</v>
      </c>
      <c r="K368" s="131" t="s">
        <v>50</v>
      </c>
      <c r="L368" s="145">
        <v>164</v>
      </c>
      <c r="M368" s="132">
        <v>12</v>
      </c>
      <c r="N368" s="141" t="s">
        <v>50</v>
      </c>
      <c r="O368" s="133">
        <v>164</v>
      </c>
      <c r="P368" s="134">
        <v>1</v>
      </c>
      <c r="Q368" s="141" t="s">
        <v>50</v>
      </c>
      <c r="R368" s="135">
        <f t="shared" si="8"/>
        <v>13.666666666666666</v>
      </c>
    </row>
    <row r="369" spans="1:18" x14ac:dyDescent="0.2">
      <c r="A369" s="54">
        <v>243954</v>
      </c>
      <c r="B369" s="122" t="s">
        <v>821</v>
      </c>
      <c r="C369" s="128" t="s">
        <v>306</v>
      </c>
      <c r="D369" s="48">
        <v>1</v>
      </c>
      <c r="E369" s="75" t="s">
        <v>52</v>
      </c>
      <c r="F369" s="98" t="s">
        <v>543</v>
      </c>
      <c r="G369" s="47"/>
      <c r="H369" s="47"/>
      <c r="I369" s="156">
        <v>198</v>
      </c>
      <c r="J369" s="130">
        <v>6</v>
      </c>
      <c r="K369" s="131" t="s">
        <v>54</v>
      </c>
      <c r="L369" s="145">
        <v>33</v>
      </c>
      <c r="M369" s="132">
        <v>1</v>
      </c>
      <c r="N369" s="141" t="s">
        <v>54</v>
      </c>
      <c r="O369" s="133">
        <v>33</v>
      </c>
      <c r="P369" s="134">
        <v>1</v>
      </c>
      <c r="Q369" s="141" t="s">
        <v>54</v>
      </c>
      <c r="R369" s="135">
        <f t="shared" si="8"/>
        <v>33</v>
      </c>
    </row>
    <row r="370" spans="1:18" x14ac:dyDescent="0.2">
      <c r="A370" s="54">
        <v>243954</v>
      </c>
      <c r="B370" s="122" t="s">
        <v>821</v>
      </c>
      <c r="C370" s="128" t="s">
        <v>887</v>
      </c>
      <c r="D370" s="48"/>
      <c r="E370" s="47"/>
      <c r="F370" s="48"/>
      <c r="G370" s="47"/>
      <c r="H370" s="47"/>
      <c r="I370" s="156">
        <v>25</v>
      </c>
      <c r="J370" s="130">
        <v>10</v>
      </c>
      <c r="K370" s="131" t="s">
        <v>57</v>
      </c>
      <c r="L370" s="145">
        <v>2.5</v>
      </c>
      <c r="M370" s="132">
        <v>10</v>
      </c>
      <c r="N370" s="141" t="s">
        <v>58</v>
      </c>
      <c r="O370" s="133">
        <v>2.5</v>
      </c>
      <c r="P370" s="134">
        <v>1</v>
      </c>
      <c r="Q370" s="141" t="s">
        <v>58</v>
      </c>
      <c r="R370" s="135">
        <f t="shared" si="8"/>
        <v>0.25</v>
      </c>
    </row>
    <row r="371" spans="1:18" x14ac:dyDescent="0.2">
      <c r="A371" s="54">
        <v>243954</v>
      </c>
      <c r="B371" s="122" t="s">
        <v>821</v>
      </c>
      <c r="C371" s="128" t="s">
        <v>888</v>
      </c>
      <c r="D371" s="48"/>
      <c r="E371" s="47"/>
      <c r="F371" s="48"/>
      <c r="G371" s="47"/>
      <c r="H371" s="47"/>
      <c r="I371" s="156">
        <v>91</v>
      </c>
      <c r="J371" s="130">
        <v>1</v>
      </c>
      <c r="K371" s="131" t="s">
        <v>50</v>
      </c>
      <c r="L371" s="145">
        <v>91</v>
      </c>
      <c r="M371" s="132">
        <v>100</v>
      </c>
      <c r="N371" s="141" t="s">
        <v>58</v>
      </c>
      <c r="O371" s="133">
        <v>91</v>
      </c>
      <c r="P371" s="134">
        <v>1</v>
      </c>
      <c r="Q371" s="141" t="s">
        <v>58</v>
      </c>
      <c r="R371" s="135">
        <f t="shared" si="8"/>
        <v>0.91</v>
      </c>
    </row>
    <row r="372" spans="1:18" x14ac:dyDescent="0.2">
      <c r="A372" s="54">
        <v>243954</v>
      </c>
      <c r="B372" s="122" t="s">
        <v>821</v>
      </c>
      <c r="C372" s="128" t="s">
        <v>889</v>
      </c>
      <c r="D372" s="48"/>
      <c r="E372" s="47"/>
      <c r="F372" s="48"/>
      <c r="G372" s="47"/>
      <c r="H372" s="47"/>
      <c r="I372" s="156">
        <v>228</v>
      </c>
      <c r="J372" s="130">
        <v>6</v>
      </c>
      <c r="K372" s="131" t="s">
        <v>50</v>
      </c>
      <c r="L372" s="145">
        <v>38</v>
      </c>
      <c r="M372" s="132">
        <v>1</v>
      </c>
      <c r="N372" s="141" t="s">
        <v>50</v>
      </c>
      <c r="O372" s="133">
        <v>38</v>
      </c>
      <c r="P372" s="134">
        <v>1</v>
      </c>
      <c r="Q372" s="141" t="s">
        <v>50</v>
      </c>
      <c r="R372" s="135">
        <f t="shared" si="8"/>
        <v>38</v>
      </c>
    </row>
    <row r="373" spans="1:18" x14ac:dyDescent="0.2">
      <c r="A373" s="54">
        <v>243954</v>
      </c>
      <c r="B373" s="122" t="s">
        <v>821</v>
      </c>
      <c r="C373" s="128" t="s">
        <v>890</v>
      </c>
      <c r="D373" s="48"/>
      <c r="E373" s="47"/>
      <c r="F373" s="48"/>
      <c r="G373" s="47"/>
      <c r="H373" s="47"/>
      <c r="I373" s="156">
        <v>105</v>
      </c>
      <c r="J373" s="130">
        <v>1</v>
      </c>
      <c r="K373" s="131" t="s">
        <v>50</v>
      </c>
      <c r="L373" s="145">
        <v>105</v>
      </c>
      <c r="M373" s="132">
        <v>500</v>
      </c>
      <c r="N373" s="141" t="s">
        <v>58</v>
      </c>
      <c r="O373" s="133">
        <v>105</v>
      </c>
      <c r="P373" s="134">
        <v>1</v>
      </c>
      <c r="Q373" s="141" t="s">
        <v>58</v>
      </c>
      <c r="R373" s="135">
        <f t="shared" si="8"/>
        <v>0.21</v>
      </c>
    </row>
    <row r="374" spans="1:18" x14ac:dyDescent="0.2">
      <c r="A374" s="54">
        <v>243954</v>
      </c>
      <c r="B374" s="122" t="s">
        <v>821</v>
      </c>
      <c r="C374" s="128" t="s">
        <v>891</v>
      </c>
      <c r="D374" s="48"/>
      <c r="E374" s="47"/>
      <c r="F374" s="48"/>
      <c r="G374" s="47"/>
      <c r="H374" s="47"/>
      <c r="I374" s="156">
        <v>115</v>
      </c>
      <c r="J374" s="130">
        <v>1</v>
      </c>
      <c r="K374" s="131" t="s">
        <v>50</v>
      </c>
      <c r="L374" s="145">
        <v>115</v>
      </c>
      <c r="M374" s="132">
        <v>100</v>
      </c>
      <c r="N374" s="141" t="s">
        <v>58</v>
      </c>
      <c r="O374" s="133">
        <v>115</v>
      </c>
      <c r="P374" s="134">
        <v>1</v>
      </c>
      <c r="Q374" s="141" t="s">
        <v>58</v>
      </c>
      <c r="R374" s="135">
        <f t="shared" si="8"/>
        <v>1.1499999999999999</v>
      </c>
    </row>
    <row r="375" spans="1:18" x14ac:dyDescent="0.2">
      <c r="A375" s="54">
        <v>243954</v>
      </c>
      <c r="B375" s="122" t="s">
        <v>821</v>
      </c>
      <c r="C375" s="128" t="s">
        <v>892</v>
      </c>
      <c r="D375" s="48"/>
      <c r="E375" s="47"/>
      <c r="F375" s="48"/>
      <c r="G375" s="47"/>
      <c r="H375" s="47"/>
      <c r="I375" s="156">
        <v>105</v>
      </c>
      <c r="J375" s="130">
        <v>1</v>
      </c>
      <c r="K375" s="131" t="s">
        <v>50</v>
      </c>
      <c r="L375" s="145">
        <v>105</v>
      </c>
      <c r="M375" s="132">
        <v>25</v>
      </c>
      <c r="N375" s="141" t="s">
        <v>58</v>
      </c>
      <c r="O375" s="133">
        <v>105</v>
      </c>
      <c r="P375" s="134">
        <v>1</v>
      </c>
      <c r="Q375" s="141" t="s">
        <v>58</v>
      </c>
      <c r="R375" s="135">
        <f t="shared" si="8"/>
        <v>4.2</v>
      </c>
    </row>
    <row r="376" spans="1:18" x14ac:dyDescent="0.2">
      <c r="A376" s="54">
        <v>243954</v>
      </c>
      <c r="B376" s="122" t="s">
        <v>821</v>
      </c>
      <c r="C376" s="128" t="s">
        <v>893</v>
      </c>
      <c r="D376" s="48"/>
      <c r="E376" s="47"/>
      <c r="F376" s="48"/>
      <c r="G376" s="47"/>
      <c r="H376" s="47"/>
      <c r="I376" s="156">
        <v>112</v>
      </c>
      <c r="J376" s="130">
        <v>1</v>
      </c>
      <c r="K376" s="131" t="s">
        <v>86</v>
      </c>
      <c r="L376" s="145">
        <v>112</v>
      </c>
      <c r="M376" s="132">
        <v>1000</v>
      </c>
      <c r="N376" s="141" t="s">
        <v>58</v>
      </c>
      <c r="O376" s="133">
        <v>112</v>
      </c>
      <c r="P376" s="134">
        <v>1</v>
      </c>
      <c r="Q376" s="141" t="s">
        <v>58</v>
      </c>
      <c r="R376" s="135">
        <f t="shared" si="8"/>
        <v>0.112</v>
      </c>
    </row>
    <row r="377" spans="1:18" x14ac:dyDescent="0.2">
      <c r="A377" s="54">
        <v>243954</v>
      </c>
      <c r="B377" s="122" t="s">
        <v>821</v>
      </c>
      <c r="C377" s="128" t="s">
        <v>894</v>
      </c>
      <c r="D377" s="48"/>
      <c r="E377" s="47"/>
      <c r="F377" s="48"/>
      <c r="G377" s="47"/>
      <c r="H377" s="47"/>
      <c r="I377" s="156">
        <v>460</v>
      </c>
      <c r="J377" s="130">
        <v>1</v>
      </c>
      <c r="K377" s="131" t="s">
        <v>50</v>
      </c>
      <c r="L377" s="145">
        <v>460</v>
      </c>
      <c r="M377" s="132">
        <v>20</v>
      </c>
      <c r="N377" s="141" t="s">
        <v>158</v>
      </c>
      <c r="O377" s="133">
        <v>460</v>
      </c>
      <c r="P377" s="134">
        <v>1</v>
      </c>
      <c r="Q377" s="141" t="s">
        <v>158</v>
      </c>
      <c r="R377" s="135">
        <f t="shared" si="8"/>
        <v>23</v>
      </c>
    </row>
    <row r="378" spans="1:18" x14ac:dyDescent="0.2">
      <c r="A378" s="54">
        <v>243954</v>
      </c>
      <c r="B378" s="122" t="s">
        <v>821</v>
      </c>
      <c r="C378" s="128" t="s">
        <v>895</v>
      </c>
      <c r="D378" s="48"/>
      <c r="E378" s="47"/>
      <c r="F378" s="48"/>
      <c r="G378" s="47"/>
      <c r="H378" s="47"/>
      <c r="I378" s="156">
        <v>176</v>
      </c>
      <c r="J378" s="130">
        <v>2</v>
      </c>
      <c r="K378" s="131" t="s">
        <v>51</v>
      </c>
      <c r="L378" s="145">
        <v>88</v>
      </c>
      <c r="M378" s="132">
        <v>1</v>
      </c>
      <c r="N378" s="141" t="s">
        <v>51</v>
      </c>
      <c r="O378" s="133">
        <v>88</v>
      </c>
      <c r="P378" s="134">
        <v>1</v>
      </c>
      <c r="Q378" s="141" t="s">
        <v>51</v>
      </c>
      <c r="R378" s="135">
        <f t="shared" si="8"/>
        <v>88</v>
      </c>
    </row>
    <row r="379" spans="1:18" x14ac:dyDescent="0.2">
      <c r="A379" s="54">
        <v>243954</v>
      </c>
      <c r="B379" s="122" t="s">
        <v>821</v>
      </c>
      <c r="C379" s="128" t="s">
        <v>896</v>
      </c>
      <c r="D379" s="48"/>
      <c r="E379" s="47"/>
      <c r="F379" s="48"/>
      <c r="G379" s="47"/>
      <c r="H379" s="47"/>
      <c r="I379" s="156">
        <v>175</v>
      </c>
      <c r="J379" s="130">
        <v>1</v>
      </c>
      <c r="K379" s="131" t="s">
        <v>50</v>
      </c>
      <c r="L379" s="145">
        <v>175</v>
      </c>
      <c r="M379" s="132">
        <v>10</v>
      </c>
      <c r="N379" s="141" t="s">
        <v>51</v>
      </c>
      <c r="O379" s="133">
        <v>175</v>
      </c>
      <c r="P379" s="134">
        <v>1</v>
      </c>
      <c r="Q379" s="141" t="s">
        <v>51</v>
      </c>
      <c r="R379" s="135">
        <f t="shared" si="8"/>
        <v>17.5</v>
      </c>
    </row>
    <row r="380" spans="1:18" x14ac:dyDescent="0.2">
      <c r="A380" s="54">
        <v>243954</v>
      </c>
      <c r="B380" s="122" t="s">
        <v>821</v>
      </c>
      <c r="C380" s="128" t="s">
        <v>897</v>
      </c>
      <c r="D380" s="48"/>
      <c r="E380" s="47"/>
      <c r="F380" s="48"/>
      <c r="G380" s="47"/>
      <c r="H380" s="47"/>
      <c r="I380" s="156">
        <v>45.5</v>
      </c>
      <c r="J380" s="130">
        <v>1</v>
      </c>
      <c r="K380" s="131" t="s">
        <v>50</v>
      </c>
      <c r="L380" s="145">
        <v>45.5</v>
      </c>
      <c r="M380" s="132">
        <v>10</v>
      </c>
      <c r="N380" s="141" t="s">
        <v>51</v>
      </c>
      <c r="O380" s="133">
        <v>45.5</v>
      </c>
      <c r="P380" s="134">
        <v>1</v>
      </c>
      <c r="Q380" s="141" t="s">
        <v>51</v>
      </c>
      <c r="R380" s="135">
        <f t="shared" si="8"/>
        <v>4.55</v>
      </c>
    </row>
    <row r="381" spans="1:18" x14ac:dyDescent="0.2">
      <c r="A381" s="54">
        <v>243954</v>
      </c>
      <c r="B381" s="122" t="s">
        <v>821</v>
      </c>
      <c r="C381" s="128" t="s">
        <v>898</v>
      </c>
      <c r="D381" s="48"/>
      <c r="E381" s="47"/>
      <c r="F381" s="48"/>
      <c r="G381" s="47"/>
      <c r="H381" s="47"/>
      <c r="I381" s="156">
        <v>25</v>
      </c>
      <c r="J381" s="130">
        <v>10</v>
      </c>
      <c r="K381" s="131" t="s">
        <v>57</v>
      </c>
      <c r="L381" s="145">
        <v>2.5</v>
      </c>
      <c r="M381" s="132">
        <v>10</v>
      </c>
      <c r="N381" s="141" t="s">
        <v>58</v>
      </c>
      <c r="O381" s="133">
        <v>2.5</v>
      </c>
      <c r="P381" s="134">
        <v>1</v>
      </c>
      <c r="Q381" s="141" t="s">
        <v>58</v>
      </c>
      <c r="R381" s="135">
        <f t="shared" si="8"/>
        <v>0.25</v>
      </c>
    </row>
    <row r="382" spans="1:18" x14ac:dyDescent="0.2">
      <c r="A382" s="54">
        <v>243954</v>
      </c>
      <c r="B382" s="122" t="s">
        <v>821</v>
      </c>
      <c r="C382" s="128" t="s">
        <v>899</v>
      </c>
      <c r="D382" s="48"/>
      <c r="E382" s="47"/>
      <c r="F382" s="48"/>
      <c r="G382" s="47"/>
      <c r="H382" s="47"/>
      <c r="I382" s="156">
        <v>220</v>
      </c>
      <c r="J382" s="130">
        <v>10</v>
      </c>
      <c r="K382" s="131" t="s">
        <v>57</v>
      </c>
      <c r="L382" s="145">
        <v>22</v>
      </c>
      <c r="M382" s="132">
        <v>10</v>
      </c>
      <c r="N382" s="141" t="s">
        <v>58</v>
      </c>
      <c r="O382" s="133">
        <v>22</v>
      </c>
      <c r="P382" s="134">
        <v>1</v>
      </c>
      <c r="Q382" s="141" t="s">
        <v>58</v>
      </c>
      <c r="R382" s="135">
        <f t="shared" si="8"/>
        <v>2.2000000000000002</v>
      </c>
    </row>
    <row r="383" spans="1:18" x14ac:dyDescent="0.2">
      <c r="A383" s="54">
        <v>243954</v>
      </c>
      <c r="B383" s="122" t="s">
        <v>821</v>
      </c>
      <c r="C383" s="128" t="s">
        <v>900</v>
      </c>
      <c r="D383" s="48"/>
      <c r="E383" s="47"/>
      <c r="F383" s="48"/>
      <c r="G383" s="47"/>
      <c r="H383" s="47"/>
      <c r="I383" s="156">
        <v>80</v>
      </c>
      <c r="J383" s="130">
        <v>10</v>
      </c>
      <c r="K383" s="131" t="s">
        <v>57</v>
      </c>
      <c r="L383" s="145">
        <v>8</v>
      </c>
      <c r="M383" s="132">
        <v>10</v>
      </c>
      <c r="N383" s="141" t="s">
        <v>58</v>
      </c>
      <c r="O383" s="133">
        <v>8</v>
      </c>
      <c r="P383" s="134">
        <v>1</v>
      </c>
      <c r="Q383" s="141" t="s">
        <v>58</v>
      </c>
      <c r="R383" s="135">
        <f t="shared" si="8"/>
        <v>0.8</v>
      </c>
    </row>
    <row r="384" spans="1:18" x14ac:dyDescent="0.2">
      <c r="A384" s="54">
        <v>243954</v>
      </c>
      <c r="B384" s="122" t="s">
        <v>821</v>
      </c>
      <c r="C384" s="128" t="s">
        <v>901</v>
      </c>
      <c r="D384" s="48"/>
      <c r="E384" s="47"/>
      <c r="F384" s="48"/>
      <c r="G384" s="47"/>
      <c r="H384" s="47"/>
      <c r="I384" s="156">
        <v>88.5</v>
      </c>
      <c r="J384" s="130">
        <v>6</v>
      </c>
      <c r="K384" s="131" t="s">
        <v>51</v>
      </c>
      <c r="L384" s="145">
        <v>14.75</v>
      </c>
      <c r="M384" s="132">
        <v>1</v>
      </c>
      <c r="N384" s="141" t="s">
        <v>51</v>
      </c>
      <c r="O384" s="133">
        <v>14.75</v>
      </c>
      <c r="P384" s="134">
        <v>1</v>
      </c>
      <c r="Q384" s="141" t="s">
        <v>51</v>
      </c>
      <c r="R384" s="135">
        <f t="shared" si="8"/>
        <v>14.75</v>
      </c>
    </row>
    <row r="385" spans="1:18" x14ac:dyDescent="0.2">
      <c r="A385" s="54">
        <v>243954</v>
      </c>
      <c r="B385" s="122" t="s">
        <v>821</v>
      </c>
      <c r="C385" s="128" t="s">
        <v>902</v>
      </c>
      <c r="D385" s="48"/>
      <c r="E385" s="47"/>
      <c r="F385" s="48"/>
      <c r="G385" s="47"/>
      <c r="H385" s="47"/>
      <c r="I385" s="156">
        <v>93</v>
      </c>
      <c r="J385" s="130">
        <v>1</v>
      </c>
      <c r="K385" s="131" t="s">
        <v>57</v>
      </c>
      <c r="L385" s="145">
        <v>93</v>
      </c>
      <c r="M385" s="132">
        <v>10</v>
      </c>
      <c r="N385" s="141" t="s">
        <v>58</v>
      </c>
      <c r="O385" s="133">
        <v>93</v>
      </c>
      <c r="P385" s="134">
        <v>1</v>
      </c>
      <c r="Q385" s="141" t="s">
        <v>58</v>
      </c>
      <c r="R385" s="135">
        <f t="shared" si="8"/>
        <v>9.3000000000000007</v>
      </c>
    </row>
    <row r="386" spans="1:18" x14ac:dyDescent="0.2">
      <c r="A386" s="54">
        <v>243954</v>
      </c>
      <c r="B386" s="122" t="s">
        <v>821</v>
      </c>
      <c r="C386" s="128" t="s">
        <v>903</v>
      </c>
      <c r="D386" s="48"/>
      <c r="E386" s="47"/>
      <c r="F386" s="48"/>
      <c r="G386" s="47"/>
      <c r="H386" s="47"/>
      <c r="I386" s="156">
        <v>550</v>
      </c>
      <c r="J386" s="130">
        <v>10</v>
      </c>
      <c r="K386" s="131" t="s">
        <v>50</v>
      </c>
      <c r="L386" s="145">
        <v>55</v>
      </c>
      <c r="M386" s="132">
        <v>1</v>
      </c>
      <c r="N386" s="141" t="s">
        <v>50</v>
      </c>
      <c r="O386" s="133">
        <v>55</v>
      </c>
      <c r="P386" s="134">
        <v>1</v>
      </c>
      <c r="Q386" s="141" t="s">
        <v>50</v>
      </c>
      <c r="R386" s="135">
        <f t="shared" si="8"/>
        <v>55</v>
      </c>
    </row>
    <row r="387" spans="1:18" x14ac:dyDescent="0.2">
      <c r="A387" s="54">
        <v>243954</v>
      </c>
      <c r="B387" s="122" t="s">
        <v>821</v>
      </c>
      <c r="C387" s="128" t="s">
        <v>904</v>
      </c>
      <c r="D387" s="48"/>
      <c r="E387" s="47"/>
      <c r="F387" s="48"/>
      <c r="G387" s="47"/>
      <c r="H387" s="47"/>
      <c r="I387" s="156">
        <v>55</v>
      </c>
      <c r="J387" s="130">
        <v>1</v>
      </c>
      <c r="K387" s="131" t="s">
        <v>50</v>
      </c>
      <c r="L387" s="145">
        <v>55</v>
      </c>
      <c r="M387" s="132">
        <v>100</v>
      </c>
      <c r="N387" s="141" t="s">
        <v>58</v>
      </c>
      <c r="O387" s="133">
        <v>55</v>
      </c>
      <c r="P387" s="134">
        <v>1</v>
      </c>
      <c r="Q387" s="141" t="s">
        <v>58</v>
      </c>
      <c r="R387" s="135">
        <f t="shared" si="8"/>
        <v>0.55000000000000004</v>
      </c>
    </row>
    <row r="388" spans="1:18" x14ac:dyDescent="0.2">
      <c r="A388" s="54">
        <v>243954</v>
      </c>
      <c r="B388" s="122" t="s">
        <v>821</v>
      </c>
      <c r="C388" s="128" t="s">
        <v>905</v>
      </c>
      <c r="D388" s="48"/>
      <c r="E388" s="47"/>
      <c r="F388" s="48"/>
      <c r="G388" s="47"/>
      <c r="H388" s="47"/>
      <c r="I388" s="156">
        <v>75</v>
      </c>
      <c r="J388" s="130">
        <v>10</v>
      </c>
      <c r="K388" s="131" t="s">
        <v>158</v>
      </c>
      <c r="L388" s="145">
        <v>7.5</v>
      </c>
      <c r="M388" s="132">
        <v>1</v>
      </c>
      <c r="N388" s="141" t="s">
        <v>158</v>
      </c>
      <c r="O388" s="133">
        <v>7.5</v>
      </c>
      <c r="P388" s="134">
        <v>1</v>
      </c>
      <c r="Q388" s="141" t="s">
        <v>158</v>
      </c>
      <c r="R388" s="135">
        <f t="shared" si="8"/>
        <v>7.5</v>
      </c>
    </row>
    <row r="389" spans="1:18" x14ac:dyDescent="0.2">
      <c r="A389" s="54">
        <v>243954</v>
      </c>
      <c r="B389" s="122" t="s">
        <v>821</v>
      </c>
      <c r="C389" s="128" t="s">
        <v>906</v>
      </c>
      <c r="D389" s="48"/>
      <c r="E389" s="47"/>
      <c r="F389" s="48"/>
      <c r="G389" s="47"/>
      <c r="H389" s="47"/>
      <c r="I389" s="156">
        <v>30</v>
      </c>
      <c r="J389" s="130">
        <v>10</v>
      </c>
      <c r="K389" s="131" t="s">
        <v>57</v>
      </c>
      <c r="L389" s="145">
        <v>3</v>
      </c>
      <c r="M389" s="132">
        <v>10</v>
      </c>
      <c r="N389" s="141" t="s">
        <v>58</v>
      </c>
      <c r="O389" s="133">
        <v>3</v>
      </c>
      <c r="P389" s="134">
        <v>1</v>
      </c>
      <c r="Q389" s="141" t="s">
        <v>58</v>
      </c>
      <c r="R389" s="135">
        <f t="shared" si="8"/>
        <v>0.3</v>
      </c>
    </row>
    <row r="390" spans="1:18" x14ac:dyDescent="0.2">
      <c r="A390" s="54">
        <v>243954</v>
      </c>
      <c r="B390" s="122" t="s">
        <v>821</v>
      </c>
      <c r="C390" s="128" t="s">
        <v>907</v>
      </c>
      <c r="D390" s="48"/>
      <c r="E390" s="47"/>
      <c r="F390" s="48"/>
      <c r="G390" s="47"/>
      <c r="H390" s="47"/>
      <c r="I390" s="156">
        <v>380</v>
      </c>
      <c r="J390" s="130">
        <v>1</v>
      </c>
      <c r="K390" s="131" t="s">
        <v>50</v>
      </c>
      <c r="L390" s="145">
        <v>380</v>
      </c>
      <c r="M390" s="132">
        <v>500</v>
      </c>
      <c r="N390" s="141" t="s">
        <v>58</v>
      </c>
      <c r="O390" s="133">
        <v>380</v>
      </c>
      <c r="P390" s="134">
        <v>1</v>
      </c>
      <c r="Q390" s="141" t="s">
        <v>58</v>
      </c>
      <c r="R390" s="135">
        <f t="shared" si="8"/>
        <v>0.76</v>
      </c>
    </row>
    <row r="391" spans="1:18" x14ac:dyDescent="0.2">
      <c r="A391" s="54">
        <v>243954</v>
      </c>
      <c r="B391" s="122" t="s">
        <v>821</v>
      </c>
      <c r="C391" s="128" t="s">
        <v>908</v>
      </c>
      <c r="D391" s="48"/>
      <c r="E391" s="47"/>
      <c r="F391" s="48"/>
      <c r="G391" s="47"/>
      <c r="H391" s="47"/>
      <c r="I391" s="156">
        <v>332</v>
      </c>
      <c r="J391" s="130">
        <v>1</v>
      </c>
      <c r="K391" s="131" t="s">
        <v>50</v>
      </c>
      <c r="L391" s="145">
        <v>332</v>
      </c>
      <c r="M391" s="132"/>
      <c r="N391" s="141"/>
      <c r="O391" s="133"/>
      <c r="P391" s="134"/>
      <c r="Q391" s="141"/>
      <c r="R391" s="135" t="e">
        <f t="shared" si="8"/>
        <v>#DIV/0!</v>
      </c>
    </row>
    <row r="392" spans="1:18" x14ac:dyDescent="0.2">
      <c r="A392" s="54">
        <v>243954</v>
      </c>
      <c r="B392" s="122" t="s">
        <v>821</v>
      </c>
      <c r="C392" s="128" t="s">
        <v>909</v>
      </c>
      <c r="D392" s="48"/>
      <c r="E392" s="47"/>
      <c r="F392" s="48"/>
      <c r="G392" s="47"/>
      <c r="H392" s="47"/>
      <c r="I392" s="156">
        <v>194</v>
      </c>
      <c r="J392" s="130">
        <v>1</v>
      </c>
      <c r="K392" s="131" t="s">
        <v>50</v>
      </c>
      <c r="L392" s="145">
        <v>194</v>
      </c>
      <c r="M392" s="132">
        <v>100</v>
      </c>
      <c r="N392" s="141" t="s">
        <v>58</v>
      </c>
      <c r="O392" s="133">
        <v>194</v>
      </c>
      <c r="P392" s="134">
        <v>1</v>
      </c>
      <c r="Q392" s="141" t="s">
        <v>58</v>
      </c>
      <c r="R392" s="135">
        <f t="shared" si="8"/>
        <v>1.94</v>
      </c>
    </row>
    <row r="393" spans="1:18" x14ac:dyDescent="0.2">
      <c r="A393" s="54">
        <v>243954</v>
      </c>
      <c r="B393" s="122" t="s">
        <v>821</v>
      </c>
      <c r="C393" s="128" t="s">
        <v>910</v>
      </c>
      <c r="D393" s="48"/>
      <c r="E393" s="47"/>
      <c r="F393" s="48"/>
      <c r="G393" s="47"/>
      <c r="H393" s="47"/>
      <c r="I393" s="156">
        <v>64</v>
      </c>
      <c r="J393" s="130">
        <v>2</v>
      </c>
      <c r="K393" s="131" t="s">
        <v>54</v>
      </c>
      <c r="L393" s="145">
        <v>32</v>
      </c>
      <c r="M393" s="132">
        <v>1</v>
      </c>
      <c r="N393" s="141" t="s">
        <v>54</v>
      </c>
      <c r="O393" s="133">
        <v>32</v>
      </c>
      <c r="P393" s="134">
        <v>1</v>
      </c>
      <c r="Q393" s="141" t="s">
        <v>54</v>
      </c>
      <c r="R393" s="135">
        <f t="shared" si="8"/>
        <v>32</v>
      </c>
    </row>
    <row r="394" spans="1:18" x14ac:dyDescent="0.2">
      <c r="A394" s="54">
        <v>243954</v>
      </c>
      <c r="B394" s="122" t="s">
        <v>821</v>
      </c>
      <c r="C394" s="128" t="s">
        <v>911</v>
      </c>
      <c r="D394" s="48"/>
      <c r="E394" s="47"/>
      <c r="F394" s="48"/>
      <c r="G394" s="47"/>
      <c r="H394" s="47"/>
      <c r="I394" s="156">
        <v>100</v>
      </c>
      <c r="J394" s="130">
        <v>10</v>
      </c>
      <c r="K394" s="131" t="s">
        <v>54</v>
      </c>
      <c r="L394" s="145">
        <v>10</v>
      </c>
      <c r="M394" s="132">
        <v>1</v>
      </c>
      <c r="N394" s="141" t="s">
        <v>54</v>
      </c>
      <c r="O394" s="133">
        <v>10</v>
      </c>
      <c r="P394" s="134">
        <v>1</v>
      </c>
      <c r="Q394" s="141" t="s">
        <v>54</v>
      </c>
      <c r="R394" s="135">
        <f t="shared" si="8"/>
        <v>10</v>
      </c>
    </row>
    <row r="395" spans="1:18" x14ac:dyDescent="0.2">
      <c r="A395" s="54">
        <v>243954</v>
      </c>
      <c r="B395" s="122" t="s">
        <v>821</v>
      </c>
      <c r="C395" s="128" t="s">
        <v>912</v>
      </c>
      <c r="D395" s="48"/>
      <c r="E395" s="47"/>
      <c r="F395" s="48"/>
      <c r="G395" s="47"/>
      <c r="H395" s="47"/>
      <c r="I395" s="156">
        <v>415</v>
      </c>
      <c r="J395" s="130">
        <v>5</v>
      </c>
      <c r="K395" s="131" t="s">
        <v>57</v>
      </c>
      <c r="L395" s="145">
        <v>83</v>
      </c>
      <c r="M395" s="132">
        <v>10</v>
      </c>
      <c r="N395" s="141" t="s">
        <v>58</v>
      </c>
      <c r="O395" s="133">
        <v>83</v>
      </c>
      <c r="P395" s="134">
        <v>1</v>
      </c>
      <c r="Q395" s="141" t="s">
        <v>58</v>
      </c>
      <c r="R395" s="135">
        <f t="shared" si="8"/>
        <v>8.3000000000000007</v>
      </c>
    </row>
    <row r="396" spans="1:18" x14ac:dyDescent="0.2">
      <c r="A396" s="54">
        <v>243954</v>
      </c>
      <c r="B396" s="160" t="s">
        <v>821</v>
      </c>
      <c r="C396" s="161" t="s">
        <v>913</v>
      </c>
      <c r="D396" s="53"/>
      <c r="E396" s="50"/>
      <c r="F396" s="53"/>
      <c r="G396" s="50"/>
      <c r="H396" s="50"/>
      <c r="I396" s="162">
        <v>36.75</v>
      </c>
      <c r="J396" s="163">
        <v>3</v>
      </c>
      <c r="K396" s="164" t="s">
        <v>51</v>
      </c>
      <c r="L396" s="165">
        <v>12.25</v>
      </c>
      <c r="M396" s="166">
        <v>1</v>
      </c>
      <c r="N396" s="167" t="s">
        <v>51</v>
      </c>
      <c r="O396" s="168">
        <v>12.25</v>
      </c>
      <c r="P396" s="169">
        <v>1</v>
      </c>
      <c r="Q396" s="167" t="s">
        <v>51</v>
      </c>
      <c r="R396" s="170">
        <f t="shared" si="8"/>
        <v>12.25</v>
      </c>
    </row>
    <row r="397" spans="1:18" x14ac:dyDescent="0.2">
      <c r="A397" s="127">
        <v>243954</v>
      </c>
      <c r="B397" s="122" t="s">
        <v>821</v>
      </c>
      <c r="C397" s="128" t="s">
        <v>914</v>
      </c>
      <c r="D397" s="48"/>
      <c r="E397" s="47"/>
      <c r="F397" s="48"/>
      <c r="G397" s="47"/>
      <c r="H397" s="47"/>
      <c r="I397" s="156">
        <v>19</v>
      </c>
      <c r="J397" s="130">
        <v>1</v>
      </c>
      <c r="K397" s="131" t="s">
        <v>50</v>
      </c>
      <c r="L397" s="145">
        <v>19</v>
      </c>
      <c r="M397" s="132">
        <v>1</v>
      </c>
      <c r="N397" s="141" t="s">
        <v>50</v>
      </c>
      <c r="O397" s="133">
        <v>19</v>
      </c>
      <c r="P397" s="134">
        <v>1</v>
      </c>
      <c r="Q397" s="141" t="s">
        <v>50</v>
      </c>
      <c r="R397" s="135">
        <f t="shared" si="8"/>
        <v>19</v>
      </c>
    </row>
    <row r="398" spans="1:18" x14ac:dyDescent="0.2">
      <c r="A398" s="127">
        <v>243954</v>
      </c>
      <c r="B398" s="122" t="s">
        <v>821</v>
      </c>
      <c r="C398" s="128" t="s">
        <v>915</v>
      </c>
      <c r="D398" s="48"/>
      <c r="E398" s="47"/>
      <c r="F398" s="48"/>
      <c r="G398" s="47"/>
      <c r="H398" s="47"/>
      <c r="I398" s="156">
        <v>50</v>
      </c>
      <c r="J398" s="130">
        <v>10</v>
      </c>
      <c r="K398" s="131" t="s">
        <v>57</v>
      </c>
      <c r="L398" s="145">
        <v>5</v>
      </c>
      <c r="M398" s="132">
        <v>10</v>
      </c>
      <c r="N398" s="141" t="s">
        <v>58</v>
      </c>
      <c r="O398" s="133">
        <v>5</v>
      </c>
      <c r="P398" s="134">
        <v>1</v>
      </c>
      <c r="Q398" s="141" t="s">
        <v>58</v>
      </c>
      <c r="R398" s="135">
        <f t="shared" si="8"/>
        <v>0.5</v>
      </c>
    </row>
    <row r="399" spans="1:18" x14ac:dyDescent="0.2">
      <c r="A399" s="127">
        <v>243954</v>
      </c>
      <c r="B399" s="122" t="s">
        <v>821</v>
      </c>
      <c r="C399" s="47" t="s">
        <v>916</v>
      </c>
      <c r="D399" s="48"/>
      <c r="E399" s="47"/>
      <c r="F399" s="48"/>
      <c r="G399" s="47"/>
      <c r="H399" s="47"/>
      <c r="I399" s="90">
        <v>107.5</v>
      </c>
      <c r="J399" s="66">
        <v>5</v>
      </c>
      <c r="K399" s="67" t="s">
        <v>57</v>
      </c>
      <c r="L399" s="68">
        <v>21.5</v>
      </c>
      <c r="M399" s="69">
        <v>10</v>
      </c>
      <c r="N399" s="80" t="s">
        <v>58</v>
      </c>
      <c r="O399" s="78">
        <v>21.5</v>
      </c>
      <c r="P399" s="76">
        <v>1</v>
      </c>
      <c r="Q399" s="80" t="s">
        <v>58</v>
      </c>
      <c r="R399" s="121">
        <f t="shared" si="8"/>
        <v>2.15</v>
      </c>
    </row>
    <row r="400" spans="1:18" x14ac:dyDescent="0.2">
      <c r="A400" s="127">
        <v>243954</v>
      </c>
      <c r="B400" s="122" t="s">
        <v>821</v>
      </c>
      <c r="C400" s="47" t="s">
        <v>917</v>
      </c>
      <c r="D400" s="48"/>
      <c r="E400" s="47"/>
      <c r="F400" s="48"/>
      <c r="G400" s="47"/>
      <c r="H400" s="47"/>
      <c r="I400" s="90">
        <v>70.5</v>
      </c>
      <c r="J400" s="66">
        <v>3</v>
      </c>
      <c r="K400" s="67" t="s">
        <v>54</v>
      </c>
      <c r="L400" s="68">
        <v>23.5</v>
      </c>
      <c r="M400" s="69">
        <v>1</v>
      </c>
      <c r="N400" s="80" t="s">
        <v>54</v>
      </c>
      <c r="O400" s="78">
        <v>23.5</v>
      </c>
      <c r="P400" s="76">
        <v>1</v>
      </c>
      <c r="Q400" s="80" t="s">
        <v>54</v>
      </c>
      <c r="R400" s="121">
        <f t="shared" si="8"/>
        <v>23.5</v>
      </c>
    </row>
    <row r="401" spans="1:18" x14ac:dyDescent="0.2">
      <c r="A401" s="127">
        <v>243954</v>
      </c>
      <c r="B401" s="122" t="s">
        <v>821</v>
      </c>
      <c r="C401" s="47" t="s">
        <v>918</v>
      </c>
      <c r="D401" s="48"/>
      <c r="E401" s="47"/>
      <c r="F401" s="48"/>
      <c r="G401" s="47"/>
      <c r="H401" s="47"/>
      <c r="I401" s="90">
        <v>70.5</v>
      </c>
      <c r="J401" s="66">
        <v>3</v>
      </c>
      <c r="K401" s="67" t="s">
        <v>54</v>
      </c>
      <c r="L401" s="68">
        <v>23.5</v>
      </c>
      <c r="M401" s="69">
        <v>1</v>
      </c>
      <c r="N401" s="80" t="s">
        <v>54</v>
      </c>
      <c r="O401" s="78">
        <v>23.5</v>
      </c>
      <c r="P401" s="76">
        <v>1</v>
      </c>
      <c r="Q401" s="80" t="s">
        <v>54</v>
      </c>
      <c r="R401" s="121">
        <f t="shared" si="8"/>
        <v>23.5</v>
      </c>
    </row>
    <row r="402" spans="1:18" x14ac:dyDescent="0.2">
      <c r="A402" s="127">
        <v>243954</v>
      </c>
      <c r="B402" s="122" t="s">
        <v>821</v>
      </c>
      <c r="C402" s="47" t="s">
        <v>919</v>
      </c>
      <c r="D402" s="48"/>
      <c r="E402" s="47"/>
      <c r="F402" s="48"/>
      <c r="G402" s="47"/>
      <c r="H402" s="47"/>
      <c r="I402" s="90">
        <v>84</v>
      </c>
      <c r="J402" s="66">
        <v>2</v>
      </c>
      <c r="K402" s="67" t="s">
        <v>50</v>
      </c>
      <c r="L402" s="68">
        <v>42</v>
      </c>
      <c r="M402" s="69"/>
      <c r="N402" s="80"/>
      <c r="O402" s="78"/>
      <c r="P402" s="76"/>
      <c r="Q402" s="80"/>
      <c r="R402" s="121" t="e">
        <f t="shared" si="8"/>
        <v>#DIV/0!</v>
      </c>
    </row>
    <row r="403" spans="1:18" x14ac:dyDescent="0.2">
      <c r="A403" s="127">
        <v>243954</v>
      </c>
      <c r="B403" s="122" t="s">
        <v>821</v>
      </c>
      <c r="C403" s="47" t="s">
        <v>919</v>
      </c>
      <c r="D403" s="48"/>
      <c r="E403" s="47"/>
      <c r="F403" s="48"/>
      <c r="G403" s="47"/>
      <c r="H403" s="47"/>
      <c r="I403" s="90">
        <v>210</v>
      </c>
      <c r="J403" s="66">
        <v>5</v>
      </c>
      <c r="K403" s="67" t="s">
        <v>50</v>
      </c>
      <c r="L403" s="68">
        <v>42</v>
      </c>
      <c r="M403" s="69"/>
      <c r="N403" s="80"/>
      <c r="O403" s="78"/>
      <c r="P403" s="76"/>
      <c r="Q403" s="80"/>
      <c r="R403" s="121" t="e">
        <f t="shared" ref="R403:R422" si="9">O403/M403</f>
        <v>#DIV/0!</v>
      </c>
    </row>
    <row r="404" spans="1:18" x14ac:dyDescent="0.2">
      <c r="A404" s="127">
        <v>243954</v>
      </c>
      <c r="B404" s="122" t="s">
        <v>821</v>
      </c>
      <c r="C404" s="47" t="s">
        <v>920</v>
      </c>
      <c r="D404" s="48"/>
      <c r="E404" s="47"/>
      <c r="F404" s="48"/>
      <c r="G404" s="47"/>
      <c r="H404" s="47"/>
      <c r="I404" s="90">
        <v>205</v>
      </c>
      <c r="J404" s="66">
        <v>1</v>
      </c>
      <c r="K404" s="67" t="s">
        <v>50</v>
      </c>
      <c r="L404" s="68">
        <v>205</v>
      </c>
      <c r="M404" s="69">
        <v>100</v>
      </c>
      <c r="N404" s="80" t="s">
        <v>58</v>
      </c>
      <c r="O404" s="78">
        <v>205</v>
      </c>
      <c r="P404" s="76">
        <v>1</v>
      </c>
      <c r="Q404" s="80" t="s">
        <v>58</v>
      </c>
      <c r="R404" s="121">
        <f t="shared" si="9"/>
        <v>2.0499999999999998</v>
      </c>
    </row>
    <row r="405" spans="1:18" x14ac:dyDescent="0.2">
      <c r="A405" s="127">
        <v>243954</v>
      </c>
      <c r="B405" s="122" t="s">
        <v>821</v>
      </c>
      <c r="C405" s="47" t="s">
        <v>921</v>
      </c>
      <c r="D405" s="48"/>
      <c r="E405" s="47"/>
      <c r="F405" s="48"/>
      <c r="G405" s="47"/>
      <c r="H405" s="47"/>
      <c r="I405" s="90">
        <v>130</v>
      </c>
      <c r="J405" s="66">
        <v>1</v>
      </c>
      <c r="K405" s="67" t="s">
        <v>50</v>
      </c>
      <c r="L405" s="68">
        <v>130</v>
      </c>
      <c r="M405" s="69"/>
      <c r="N405" s="80"/>
      <c r="O405" s="78"/>
      <c r="P405" s="76"/>
      <c r="Q405" s="80"/>
      <c r="R405" s="121" t="e">
        <f t="shared" si="9"/>
        <v>#DIV/0!</v>
      </c>
    </row>
    <row r="406" spans="1:18" x14ac:dyDescent="0.2">
      <c r="A406" s="127">
        <v>243954</v>
      </c>
      <c r="B406" s="122" t="s">
        <v>821</v>
      </c>
      <c r="C406" s="47" t="s">
        <v>922</v>
      </c>
      <c r="D406" s="48"/>
      <c r="E406" s="47"/>
      <c r="F406" s="48"/>
      <c r="G406" s="47"/>
      <c r="H406" s="47"/>
      <c r="I406" s="90">
        <v>120</v>
      </c>
      <c r="J406" s="66">
        <v>1</v>
      </c>
      <c r="K406" s="67" t="s">
        <v>50</v>
      </c>
      <c r="L406" s="68">
        <v>120</v>
      </c>
      <c r="M406" s="69"/>
      <c r="N406" s="80"/>
      <c r="O406" s="78"/>
      <c r="P406" s="76"/>
      <c r="Q406" s="80"/>
      <c r="R406" s="121" t="e">
        <f t="shared" si="9"/>
        <v>#DIV/0!</v>
      </c>
    </row>
    <row r="407" spans="1:18" x14ac:dyDescent="0.2">
      <c r="A407" s="127">
        <v>243954</v>
      </c>
      <c r="B407" s="122" t="s">
        <v>821</v>
      </c>
      <c r="C407" s="47" t="s">
        <v>923</v>
      </c>
      <c r="D407" s="48"/>
      <c r="E407" s="47"/>
      <c r="F407" s="48"/>
      <c r="G407" s="47"/>
      <c r="H407" s="47"/>
      <c r="I407" s="90">
        <v>126</v>
      </c>
      <c r="J407" s="66">
        <v>3</v>
      </c>
      <c r="K407" s="67" t="s">
        <v>51</v>
      </c>
      <c r="L407" s="68">
        <v>42</v>
      </c>
      <c r="M407" s="69"/>
      <c r="N407" s="80"/>
      <c r="O407" s="78"/>
      <c r="P407" s="76"/>
      <c r="Q407" s="80"/>
      <c r="R407" s="121" t="e">
        <f t="shared" si="9"/>
        <v>#DIV/0!</v>
      </c>
    </row>
    <row r="408" spans="1:18" x14ac:dyDescent="0.2">
      <c r="A408" s="127">
        <v>243954</v>
      </c>
      <c r="B408" s="122" t="s">
        <v>821</v>
      </c>
      <c r="C408" s="47" t="s">
        <v>924</v>
      </c>
      <c r="D408" s="48"/>
      <c r="E408" s="47"/>
      <c r="F408" s="48"/>
      <c r="G408" s="47"/>
      <c r="H408" s="47"/>
      <c r="I408" s="90">
        <v>167</v>
      </c>
      <c r="J408" s="66">
        <v>1</v>
      </c>
      <c r="K408" s="67" t="s">
        <v>50</v>
      </c>
      <c r="L408" s="68">
        <v>167</v>
      </c>
      <c r="M408" s="69"/>
      <c r="N408" s="80"/>
      <c r="O408" s="78"/>
      <c r="P408" s="76"/>
      <c r="Q408" s="80"/>
      <c r="R408" s="121" t="e">
        <f t="shared" si="9"/>
        <v>#DIV/0!</v>
      </c>
    </row>
    <row r="409" spans="1:18" x14ac:dyDescent="0.2">
      <c r="A409" s="127">
        <v>243954</v>
      </c>
      <c r="B409" s="122" t="s">
        <v>821</v>
      </c>
      <c r="C409" s="47" t="s">
        <v>925</v>
      </c>
      <c r="D409" s="48"/>
      <c r="E409" s="47"/>
      <c r="F409" s="48"/>
      <c r="G409" s="47"/>
      <c r="H409" s="47"/>
      <c r="I409" s="90">
        <v>40</v>
      </c>
      <c r="J409" s="66">
        <v>10</v>
      </c>
      <c r="K409" s="67" t="s">
        <v>57</v>
      </c>
      <c r="L409" s="68">
        <v>4</v>
      </c>
      <c r="M409" s="69"/>
      <c r="N409" s="80"/>
      <c r="O409" s="78"/>
      <c r="P409" s="76"/>
      <c r="Q409" s="80"/>
      <c r="R409" s="121" t="e">
        <f t="shared" si="9"/>
        <v>#DIV/0!</v>
      </c>
    </row>
    <row r="410" spans="1:18" x14ac:dyDescent="0.2">
      <c r="A410" s="127">
        <v>243954</v>
      </c>
      <c r="B410" s="122" t="s">
        <v>821</v>
      </c>
      <c r="C410" s="47" t="s">
        <v>926</v>
      </c>
      <c r="D410" s="48"/>
      <c r="E410" s="47"/>
      <c r="F410" s="48"/>
      <c r="G410" s="47"/>
      <c r="H410" s="47"/>
      <c r="I410" s="90">
        <v>220</v>
      </c>
      <c r="J410" s="66">
        <v>5</v>
      </c>
      <c r="K410" s="67" t="s">
        <v>57</v>
      </c>
      <c r="L410" s="68">
        <v>44</v>
      </c>
      <c r="M410" s="69"/>
      <c r="N410" s="80"/>
      <c r="O410" s="78"/>
      <c r="P410" s="76"/>
      <c r="Q410" s="80"/>
      <c r="R410" s="121" t="e">
        <f t="shared" si="9"/>
        <v>#DIV/0!</v>
      </c>
    </row>
    <row r="411" spans="1:18" x14ac:dyDescent="0.2">
      <c r="A411" s="127">
        <v>243954</v>
      </c>
      <c r="B411" s="122" t="s">
        <v>821</v>
      </c>
      <c r="C411" s="47" t="s">
        <v>927</v>
      </c>
      <c r="D411" s="48"/>
      <c r="E411" s="47"/>
      <c r="F411" s="48"/>
      <c r="G411" s="47"/>
      <c r="H411" s="47"/>
      <c r="I411" s="90">
        <v>168</v>
      </c>
      <c r="J411" s="66">
        <v>3</v>
      </c>
      <c r="K411" s="67" t="s">
        <v>50</v>
      </c>
      <c r="L411" s="68">
        <v>56</v>
      </c>
      <c r="M411" s="69"/>
      <c r="N411" s="80"/>
      <c r="O411" s="78"/>
      <c r="P411" s="76"/>
      <c r="Q411" s="80"/>
      <c r="R411" s="121" t="e">
        <f t="shared" si="9"/>
        <v>#DIV/0!</v>
      </c>
    </row>
    <row r="412" spans="1:18" x14ac:dyDescent="0.2">
      <c r="A412" s="127">
        <v>243954</v>
      </c>
      <c r="B412" s="122" t="s">
        <v>821</v>
      </c>
      <c r="C412" s="47" t="s">
        <v>928</v>
      </c>
      <c r="D412" s="48"/>
      <c r="E412" s="47"/>
      <c r="F412" s="48"/>
      <c r="G412" s="47"/>
      <c r="H412" s="47"/>
      <c r="I412" s="90">
        <v>93</v>
      </c>
      <c r="J412" s="66">
        <v>1</v>
      </c>
      <c r="K412" s="67" t="s">
        <v>86</v>
      </c>
      <c r="L412" s="68">
        <v>93</v>
      </c>
      <c r="M412" s="69"/>
      <c r="N412" s="80"/>
      <c r="O412" s="78"/>
      <c r="P412" s="76"/>
      <c r="Q412" s="80"/>
      <c r="R412" s="121" t="e">
        <f t="shared" si="9"/>
        <v>#DIV/0!</v>
      </c>
    </row>
    <row r="413" spans="1:18" x14ac:dyDescent="0.2">
      <c r="A413" s="127">
        <v>243954</v>
      </c>
      <c r="B413" s="122" t="s">
        <v>821</v>
      </c>
      <c r="C413" s="47" t="s">
        <v>929</v>
      </c>
      <c r="D413" s="48"/>
      <c r="E413" s="47"/>
      <c r="F413" s="48"/>
      <c r="G413" s="47"/>
      <c r="H413" s="47"/>
      <c r="I413" s="90">
        <v>100.5</v>
      </c>
      <c r="J413" s="66">
        <v>6</v>
      </c>
      <c r="K413" s="67" t="s">
        <v>51</v>
      </c>
      <c r="L413" s="68">
        <v>16.75</v>
      </c>
      <c r="M413" s="69"/>
      <c r="N413" s="80"/>
      <c r="O413" s="78"/>
      <c r="P413" s="76"/>
      <c r="Q413" s="80"/>
      <c r="R413" s="121" t="e">
        <f t="shared" si="9"/>
        <v>#DIV/0!</v>
      </c>
    </row>
    <row r="414" spans="1:18" x14ac:dyDescent="0.2">
      <c r="A414" s="127">
        <v>243954</v>
      </c>
      <c r="B414" s="122" t="s">
        <v>821</v>
      </c>
      <c r="C414" s="47" t="s">
        <v>930</v>
      </c>
      <c r="D414" s="48"/>
      <c r="E414" s="47"/>
      <c r="F414" s="48"/>
      <c r="G414" s="47"/>
      <c r="H414" s="47"/>
      <c r="I414" s="90">
        <v>25</v>
      </c>
      <c r="J414" s="66">
        <v>5</v>
      </c>
      <c r="K414" s="67" t="s">
        <v>57</v>
      </c>
      <c r="L414" s="68">
        <v>5</v>
      </c>
      <c r="M414" s="69"/>
      <c r="N414" s="80"/>
      <c r="O414" s="78"/>
      <c r="P414" s="76"/>
      <c r="Q414" s="80"/>
      <c r="R414" s="121" t="e">
        <f t="shared" si="9"/>
        <v>#DIV/0!</v>
      </c>
    </row>
    <row r="415" spans="1:18" x14ac:dyDescent="0.2">
      <c r="A415" s="127">
        <v>243954</v>
      </c>
      <c r="B415" s="122" t="s">
        <v>821</v>
      </c>
      <c r="C415" s="47" t="s">
        <v>931</v>
      </c>
      <c r="D415" s="48"/>
      <c r="E415" s="47"/>
      <c r="F415" s="48"/>
      <c r="G415" s="47"/>
      <c r="H415" s="47"/>
      <c r="I415" s="90">
        <v>220</v>
      </c>
      <c r="J415" s="66">
        <v>1</v>
      </c>
      <c r="K415" s="67" t="s">
        <v>50</v>
      </c>
      <c r="L415" s="68">
        <v>220</v>
      </c>
      <c r="M415" s="69"/>
      <c r="N415" s="80"/>
      <c r="O415" s="78"/>
      <c r="P415" s="76"/>
      <c r="Q415" s="80"/>
      <c r="R415" s="121" t="e">
        <f t="shared" si="9"/>
        <v>#DIV/0!</v>
      </c>
    </row>
    <row r="416" spans="1:18" x14ac:dyDescent="0.2">
      <c r="A416" s="127">
        <v>243954</v>
      </c>
      <c r="B416" s="122" t="s">
        <v>821</v>
      </c>
      <c r="C416" s="47" t="s">
        <v>932</v>
      </c>
      <c r="D416" s="48"/>
      <c r="E416" s="47"/>
      <c r="F416" s="48"/>
      <c r="G416" s="47"/>
      <c r="H416" s="47"/>
      <c r="I416" s="90">
        <v>80</v>
      </c>
      <c r="J416" s="66">
        <v>2</v>
      </c>
      <c r="K416" s="67" t="s">
        <v>50</v>
      </c>
      <c r="L416" s="68">
        <v>40</v>
      </c>
      <c r="M416" s="69"/>
      <c r="N416" s="80"/>
      <c r="O416" s="78"/>
      <c r="P416" s="76"/>
      <c r="Q416" s="80"/>
      <c r="R416" s="121" t="e">
        <f t="shared" si="9"/>
        <v>#DIV/0!</v>
      </c>
    </row>
    <row r="417" spans="1:18" x14ac:dyDescent="0.2">
      <c r="A417" s="127">
        <v>243954</v>
      </c>
      <c r="B417" s="122" t="s">
        <v>821</v>
      </c>
      <c r="C417" s="47" t="s">
        <v>933</v>
      </c>
      <c r="D417" s="48"/>
      <c r="E417" s="47"/>
      <c r="F417" s="48"/>
      <c r="G417" s="47"/>
      <c r="H417" s="47"/>
      <c r="I417" s="90">
        <v>60</v>
      </c>
      <c r="J417" s="66">
        <v>6</v>
      </c>
      <c r="K417" s="67" t="s">
        <v>51</v>
      </c>
      <c r="L417" s="68">
        <v>10</v>
      </c>
      <c r="M417" s="69"/>
      <c r="N417" s="80"/>
      <c r="O417" s="78"/>
      <c r="P417" s="76"/>
      <c r="Q417" s="80"/>
      <c r="R417" s="121" t="e">
        <f t="shared" si="9"/>
        <v>#DIV/0!</v>
      </c>
    </row>
    <row r="418" spans="1:18" x14ac:dyDescent="0.2">
      <c r="A418" s="127">
        <v>243954</v>
      </c>
      <c r="B418" s="122" t="s">
        <v>821</v>
      </c>
      <c r="C418" s="47" t="s">
        <v>934</v>
      </c>
      <c r="D418" s="48"/>
      <c r="E418" s="47"/>
      <c r="F418" s="48"/>
      <c r="G418" s="47"/>
      <c r="H418" s="47"/>
      <c r="I418" s="90">
        <v>173</v>
      </c>
      <c r="J418" s="66">
        <v>12</v>
      </c>
      <c r="K418" s="67" t="s">
        <v>50</v>
      </c>
      <c r="L418" s="68">
        <v>173</v>
      </c>
      <c r="M418" s="69"/>
      <c r="N418" s="80"/>
      <c r="O418" s="78"/>
      <c r="P418" s="76"/>
      <c r="Q418" s="80"/>
      <c r="R418" s="121" t="e">
        <f t="shared" si="9"/>
        <v>#DIV/0!</v>
      </c>
    </row>
    <row r="419" spans="1:18" x14ac:dyDescent="0.2">
      <c r="A419" s="127">
        <v>243954</v>
      </c>
      <c r="B419" s="122" t="s">
        <v>821</v>
      </c>
      <c r="C419" s="47" t="s">
        <v>935</v>
      </c>
      <c r="D419" s="48"/>
      <c r="E419" s="47"/>
      <c r="F419" s="48"/>
      <c r="G419" s="47"/>
      <c r="H419" s="47"/>
      <c r="I419" s="90">
        <v>0</v>
      </c>
      <c r="J419" s="66">
        <v>1</v>
      </c>
      <c r="K419" s="67"/>
      <c r="L419" s="68">
        <v>0</v>
      </c>
      <c r="M419" s="69"/>
      <c r="N419" s="80"/>
      <c r="O419" s="78"/>
      <c r="P419" s="76"/>
      <c r="Q419" s="80"/>
      <c r="R419" s="121" t="e">
        <f t="shared" si="9"/>
        <v>#DIV/0!</v>
      </c>
    </row>
    <row r="420" spans="1:18" x14ac:dyDescent="0.2">
      <c r="A420" s="127">
        <v>243954</v>
      </c>
      <c r="B420" s="122" t="s">
        <v>821</v>
      </c>
      <c r="C420" s="47" t="s">
        <v>936</v>
      </c>
      <c r="D420" s="48"/>
      <c r="E420" s="47"/>
      <c r="F420" s="48"/>
      <c r="G420" s="47"/>
      <c r="H420" s="47"/>
      <c r="I420" s="90">
        <v>0</v>
      </c>
      <c r="J420" s="66">
        <v>2</v>
      </c>
      <c r="K420" s="67"/>
      <c r="L420" s="68">
        <v>0</v>
      </c>
      <c r="M420" s="69"/>
      <c r="N420" s="80"/>
      <c r="O420" s="78"/>
      <c r="P420" s="76"/>
      <c r="Q420" s="80"/>
      <c r="R420" s="121" t="e">
        <f t="shared" si="9"/>
        <v>#DIV/0!</v>
      </c>
    </row>
    <row r="421" spans="1:18" x14ac:dyDescent="0.2">
      <c r="A421" s="127">
        <v>243954</v>
      </c>
      <c r="B421" s="122" t="s">
        <v>821</v>
      </c>
      <c r="C421" s="47" t="s">
        <v>937</v>
      </c>
      <c r="D421" s="48"/>
      <c r="E421" s="47"/>
      <c r="F421" s="48"/>
      <c r="G421" s="47"/>
      <c r="H421" s="47"/>
      <c r="I421" s="90">
        <v>0</v>
      </c>
      <c r="J421" s="66">
        <v>20</v>
      </c>
      <c r="K421" s="67"/>
      <c r="L421" s="68">
        <v>0</v>
      </c>
      <c r="M421" s="69"/>
      <c r="N421" s="80"/>
      <c r="O421" s="78"/>
      <c r="P421" s="76"/>
      <c r="Q421" s="80"/>
      <c r="R421" s="121" t="e">
        <f t="shared" si="9"/>
        <v>#DIV/0!</v>
      </c>
    </row>
    <row r="422" spans="1:18" x14ac:dyDescent="0.2">
      <c r="A422" s="48"/>
      <c r="B422" s="48"/>
      <c r="C422" s="47"/>
      <c r="D422" s="48"/>
      <c r="E422" s="47"/>
      <c r="F422" s="48"/>
      <c r="G422" s="47"/>
      <c r="H422" s="47"/>
      <c r="I422" s="90"/>
      <c r="J422" s="66"/>
      <c r="K422" s="67"/>
      <c r="L422" s="68"/>
      <c r="M422" s="69"/>
      <c r="N422" s="80"/>
      <c r="O422" s="78"/>
      <c r="P422" s="76"/>
      <c r="Q422" s="80"/>
      <c r="R422" s="121" t="e">
        <f t="shared" si="9"/>
        <v>#DIV/0!</v>
      </c>
    </row>
    <row r="423" spans="1:18" x14ac:dyDescent="0.2">
      <c r="A423" s="48"/>
      <c r="B423" s="48"/>
      <c r="C423" s="47"/>
      <c r="D423" s="48"/>
      <c r="E423" s="47"/>
      <c r="F423" s="48"/>
      <c r="G423" s="47"/>
      <c r="H423" s="47"/>
      <c r="I423" s="90"/>
      <c r="J423" s="66"/>
      <c r="K423" s="67"/>
      <c r="L423" s="68"/>
      <c r="M423" s="69"/>
      <c r="N423" s="80"/>
      <c r="O423" s="78"/>
      <c r="P423" s="76"/>
      <c r="Q423" s="80"/>
      <c r="R423" s="121" t="e">
        <f t="shared" ref="R423:R439" si="10">O423/M423</f>
        <v>#DIV/0!</v>
      </c>
    </row>
    <row r="424" spans="1:18" x14ac:dyDescent="0.2">
      <c r="A424" s="48"/>
      <c r="B424" s="48"/>
      <c r="C424" s="47"/>
      <c r="D424" s="48"/>
      <c r="E424" s="47"/>
      <c r="F424" s="48"/>
      <c r="G424" s="47"/>
      <c r="H424" s="47"/>
      <c r="I424" s="90"/>
      <c r="J424" s="66"/>
      <c r="K424" s="67"/>
      <c r="L424" s="68"/>
      <c r="M424" s="69"/>
      <c r="N424" s="80"/>
      <c r="O424" s="78"/>
      <c r="P424" s="76"/>
      <c r="Q424" s="80"/>
      <c r="R424" s="121" t="e">
        <f t="shared" si="10"/>
        <v>#DIV/0!</v>
      </c>
    </row>
    <row r="425" spans="1:18" x14ac:dyDescent="0.2">
      <c r="A425" s="48"/>
      <c r="B425" s="48"/>
      <c r="C425" s="47"/>
      <c r="D425" s="48"/>
      <c r="E425" s="47"/>
      <c r="F425" s="48"/>
      <c r="G425" s="47"/>
      <c r="H425" s="47"/>
      <c r="I425" s="90"/>
      <c r="J425" s="66"/>
      <c r="K425" s="67"/>
      <c r="L425" s="68"/>
      <c r="M425" s="69"/>
      <c r="N425" s="80"/>
      <c r="O425" s="78"/>
      <c r="P425" s="76"/>
      <c r="Q425" s="80"/>
      <c r="R425" s="121" t="e">
        <f t="shared" si="10"/>
        <v>#DIV/0!</v>
      </c>
    </row>
    <row r="426" spans="1:18" x14ac:dyDescent="0.2">
      <c r="A426" s="48"/>
      <c r="B426" s="48"/>
      <c r="C426" s="47"/>
      <c r="D426" s="48"/>
      <c r="E426" s="47"/>
      <c r="F426" s="48"/>
      <c r="G426" s="47"/>
      <c r="H426" s="47"/>
      <c r="I426" s="90"/>
      <c r="J426" s="66"/>
      <c r="K426" s="67"/>
      <c r="L426" s="68"/>
      <c r="M426" s="69"/>
      <c r="N426" s="80"/>
      <c r="O426" s="78"/>
      <c r="P426" s="76"/>
      <c r="Q426" s="80"/>
      <c r="R426" s="121" t="e">
        <f t="shared" si="10"/>
        <v>#DIV/0!</v>
      </c>
    </row>
    <row r="427" spans="1:18" x14ac:dyDescent="0.2">
      <c r="A427" s="48"/>
      <c r="B427" s="48"/>
      <c r="C427" s="47"/>
      <c r="D427" s="48"/>
      <c r="E427" s="47"/>
      <c r="F427" s="48"/>
      <c r="G427" s="47"/>
      <c r="H427" s="47"/>
      <c r="I427" s="90"/>
      <c r="J427" s="66"/>
      <c r="K427" s="67"/>
      <c r="L427" s="68"/>
      <c r="M427" s="69"/>
      <c r="N427" s="80"/>
      <c r="O427" s="78"/>
      <c r="P427" s="76"/>
      <c r="Q427" s="80"/>
      <c r="R427" s="121" t="e">
        <f t="shared" si="10"/>
        <v>#DIV/0!</v>
      </c>
    </row>
    <row r="428" spans="1:18" x14ac:dyDescent="0.2">
      <c r="A428" s="48"/>
      <c r="B428" s="48"/>
      <c r="C428" s="47"/>
      <c r="D428" s="48"/>
      <c r="E428" s="47"/>
      <c r="F428" s="48"/>
      <c r="G428" s="47"/>
      <c r="H428" s="47"/>
      <c r="I428" s="90"/>
      <c r="J428" s="66"/>
      <c r="K428" s="67"/>
      <c r="L428" s="68"/>
      <c r="M428" s="69"/>
      <c r="N428" s="80"/>
      <c r="O428" s="78"/>
      <c r="P428" s="76"/>
      <c r="Q428" s="80"/>
      <c r="R428" s="121" t="e">
        <f t="shared" si="10"/>
        <v>#DIV/0!</v>
      </c>
    </row>
    <row r="429" spans="1:18" x14ac:dyDescent="0.2">
      <c r="A429" s="48"/>
      <c r="B429" s="48"/>
      <c r="C429" s="47"/>
      <c r="D429" s="48"/>
      <c r="E429" s="47"/>
      <c r="F429" s="48"/>
      <c r="G429" s="47"/>
      <c r="H429" s="47"/>
      <c r="I429" s="90"/>
      <c r="J429" s="66"/>
      <c r="K429" s="67"/>
      <c r="L429" s="68"/>
      <c r="M429" s="69"/>
      <c r="N429" s="80"/>
      <c r="O429" s="78"/>
      <c r="P429" s="76"/>
      <c r="Q429" s="80"/>
      <c r="R429" s="121" t="e">
        <f t="shared" si="10"/>
        <v>#DIV/0!</v>
      </c>
    </row>
    <row r="430" spans="1:18" x14ac:dyDescent="0.2">
      <c r="A430" s="48"/>
      <c r="B430" s="48"/>
      <c r="C430" s="47"/>
      <c r="D430" s="48"/>
      <c r="E430" s="47"/>
      <c r="F430" s="48"/>
      <c r="G430" s="47"/>
      <c r="H430" s="47"/>
      <c r="I430" s="90"/>
      <c r="J430" s="66"/>
      <c r="K430" s="67"/>
      <c r="L430" s="68"/>
      <c r="M430" s="69"/>
      <c r="N430" s="80"/>
      <c r="O430" s="78"/>
      <c r="P430" s="76"/>
      <c r="Q430" s="80"/>
      <c r="R430" s="121" t="e">
        <f t="shared" si="10"/>
        <v>#DIV/0!</v>
      </c>
    </row>
    <row r="431" spans="1:18" x14ac:dyDescent="0.2">
      <c r="A431" s="48"/>
      <c r="B431" s="48"/>
      <c r="C431" s="47"/>
      <c r="D431" s="48"/>
      <c r="E431" s="47"/>
      <c r="F431" s="48"/>
      <c r="G431" s="47"/>
      <c r="H431" s="47"/>
      <c r="I431" s="90"/>
      <c r="J431" s="66"/>
      <c r="K431" s="67"/>
      <c r="L431" s="68"/>
      <c r="M431" s="69"/>
      <c r="N431" s="80"/>
      <c r="O431" s="78"/>
      <c r="P431" s="76"/>
      <c r="Q431" s="80"/>
      <c r="R431" s="121" t="e">
        <f t="shared" si="10"/>
        <v>#DIV/0!</v>
      </c>
    </row>
    <row r="432" spans="1:18" x14ac:dyDescent="0.2">
      <c r="A432" s="48"/>
      <c r="B432" s="48"/>
      <c r="C432" s="47"/>
      <c r="D432" s="48"/>
      <c r="E432" s="47"/>
      <c r="F432" s="48"/>
      <c r="G432" s="47"/>
      <c r="H432" s="47"/>
      <c r="I432" s="90"/>
      <c r="J432" s="66"/>
      <c r="K432" s="67"/>
      <c r="L432" s="68"/>
      <c r="M432" s="69"/>
      <c r="N432" s="80"/>
      <c r="O432" s="78"/>
      <c r="P432" s="76"/>
      <c r="Q432" s="80"/>
      <c r="R432" s="121" t="e">
        <f t="shared" si="10"/>
        <v>#DIV/0!</v>
      </c>
    </row>
    <row r="433" spans="1:18" x14ac:dyDescent="0.2">
      <c r="A433" s="48"/>
      <c r="B433" s="48"/>
      <c r="C433" s="47"/>
      <c r="D433" s="48"/>
      <c r="E433" s="47"/>
      <c r="F433" s="48"/>
      <c r="G433" s="47"/>
      <c r="H433" s="47"/>
      <c r="I433" s="90"/>
      <c r="J433" s="66"/>
      <c r="K433" s="67"/>
      <c r="L433" s="68"/>
      <c r="M433" s="69"/>
      <c r="N433" s="80"/>
      <c r="O433" s="78"/>
      <c r="P433" s="76"/>
      <c r="Q433" s="80"/>
      <c r="R433" s="121" t="e">
        <f t="shared" si="10"/>
        <v>#DIV/0!</v>
      </c>
    </row>
    <row r="434" spans="1:18" x14ac:dyDescent="0.2">
      <c r="A434" s="48"/>
      <c r="B434" s="48"/>
      <c r="C434" s="47"/>
      <c r="D434" s="48"/>
      <c r="E434" s="47"/>
      <c r="F434" s="48"/>
      <c r="G434" s="47"/>
      <c r="H434" s="47"/>
      <c r="I434" s="90"/>
      <c r="J434" s="66"/>
      <c r="K434" s="67"/>
      <c r="L434" s="68"/>
      <c r="M434" s="69"/>
      <c r="N434" s="80"/>
      <c r="O434" s="78"/>
      <c r="P434" s="76"/>
      <c r="Q434" s="80"/>
      <c r="R434" s="121" t="e">
        <f t="shared" si="10"/>
        <v>#DIV/0!</v>
      </c>
    </row>
    <row r="435" spans="1:18" x14ac:dyDescent="0.2">
      <c r="A435" s="48"/>
      <c r="B435" s="48"/>
      <c r="C435" s="47"/>
      <c r="D435" s="48"/>
      <c r="E435" s="47"/>
      <c r="F435" s="48"/>
      <c r="G435" s="47"/>
      <c r="H435" s="47"/>
      <c r="I435" s="90"/>
      <c r="J435" s="66"/>
      <c r="K435" s="67"/>
      <c r="L435" s="68"/>
      <c r="M435" s="69"/>
      <c r="N435" s="80"/>
      <c r="O435" s="78"/>
      <c r="P435" s="76"/>
      <c r="Q435" s="80"/>
      <c r="R435" s="121" t="e">
        <f t="shared" si="10"/>
        <v>#DIV/0!</v>
      </c>
    </row>
    <row r="436" spans="1:18" x14ac:dyDescent="0.2">
      <c r="A436" s="48"/>
      <c r="B436" s="48"/>
      <c r="C436" s="47"/>
      <c r="D436" s="48"/>
      <c r="E436" s="47"/>
      <c r="F436" s="48"/>
      <c r="G436" s="47"/>
      <c r="H436" s="47"/>
      <c r="I436" s="90"/>
      <c r="J436" s="66"/>
      <c r="K436" s="67"/>
      <c r="L436" s="68"/>
      <c r="M436" s="69"/>
      <c r="N436" s="80"/>
      <c r="O436" s="78"/>
      <c r="P436" s="76"/>
      <c r="Q436" s="80"/>
      <c r="R436" s="121" t="e">
        <f t="shared" si="10"/>
        <v>#DIV/0!</v>
      </c>
    </row>
    <row r="437" spans="1:18" x14ac:dyDescent="0.2">
      <c r="A437" s="48"/>
      <c r="B437" s="48"/>
      <c r="C437" s="47"/>
      <c r="D437" s="48"/>
      <c r="E437" s="47"/>
      <c r="F437" s="48"/>
      <c r="G437" s="47"/>
      <c r="H437" s="47"/>
      <c r="I437" s="90"/>
      <c r="J437" s="66"/>
      <c r="K437" s="67"/>
      <c r="L437" s="68"/>
      <c r="M437" s="69"/>
      <c r="N437" s="80"/>
      <c r="O437" s="78"/>
      <c r="P437" s="76"/>
      <c r="Q437" s="80"/>
      <c r="R437" s="121" t="e">
        <f t="shared" si="10"/>
        <v>#DIV/0!</v>
      </c>
    </row>
    <row r="438" spans="1:18" x14ac:dyDescent="0.2">
      <c r="A438" s="48"/>
      <c r="B438" s="48"/>
      <c r="C438" s="47"/>
      <c r="D438" s="48"/>
      <c r="E438" s="47"/>
      <c r="F438" s="48"/>
      <c r="G438" s="47"/>
      <c r="H438" s="47"/>
      <c r="I438" s="90"/>
      <c r="J438" s="66"/>
      <c r="K438" s="67"/>
      <c r="L438" s="68"/>
      <c r="M438" s="69"/>
      <c r="N438" s="80"/>
      <c r="O438" s="78"/>
      <c r="P438" s="76"/>
      <c r="Q438" s="80"/>
      <c r="R438" s="121" t="e">
        <f t="shared" si="10"/>
        <v>#DIV/0!</v>
      </c>
    </row>
    <row r="439" spans="1:18" x14ac:dyDescent="0.2">
      <c r="A439" s="48"/>
      <c r="B439" s="48"/>
      <c r="C439" s="47"/>
      <c r="D439" s="48"/>
      <c r="E439" s="47"/>
      <c r="F439" s="48"/>
      <c r="G439" s="47"/>
      <c r="H439" s="47"/>
      <c r="I439" s="90"/>
      <c r="J439" s="66"/>
      <c r="K439" s="67"/>
      <c r="L439" s="68"/>
      <c r="M439" s="69"/>
      <c r="N439" s="80"/>
      <c r="O439" s="78"/>
      <c r="P439" s="76"/>
      <c r="Q439" s="80"/>
      <c r="R439" s="121" t="e">
        <f t="shared" si="10"/>
        <v>#DIV/0!</v>
      </c>
    </row>
  </sheetData>
  <autoFilter ref="A2:Z421" xr:uid="{7F6B9A1C-D32B-45A8-9F71-DDBDDC1D25B7}"/>
  <dataConsolidate/>
  <dataValidations count="10">
    <dataValidation type="list" allowBlank="1" showInputMessage="1" showErrorMessage="1" sqref="K21" xr:uid="{82191A80-E52F-4F37-8B34-B75B43FAD0B4}">
      <formula1>"กล่อง,กระปุก,ขวด,แผง,เม็ด,ซอง,เส้น,หลอด,ชิ้น,vial"</formula1>
    </dataValidation>
    <dataValidation type="list" allowBlank="1" showInputMessage="1" showErrorMessage="1" sqref="K14" xr:uid="{D3E3E17E-56AC-4012-83F1-BCB7F7786A70}">
      <formula1>"กล่อง,กระปุก,ขวด,แผง,เม็ด,ซอง,เส้น,หลอด,ชิ้น,ชุด"</formula1>
    </dataValidation>
    <dataValidation type="list" allowBlank="1" showInputMessage="1" showErrorMessage="1" sqref="N67:N228 K3:K13 K15:K20 K67:K228 N3:N65 K22:K65 Q67:Q228 Q3:Q65" xr:uid="{48A88320-D023-4716-AA86-B69C45BD0F85}">
      <formula1>"กล่อง,กระปุก,ขวด,แผง,เม็ด,ซอง,เส้น,หลอด,ชิ้น"</formula1>
    </dataValidation>
    <dataValidation type="list" allowBlank="1" showInputMessage="1" showErrorMessage="1" sqref="B150:B153 B131:B141 B171:B172 B200:B275" xr:uid="{BFCDC311-B883-43A1-82A0-BC84973CDE31}">
      <formula1>"SRO,ชัชชัย"</formula1>
    </dataValidation>
    <dataValidation type="list" allowBlank="1" showInputMessage="1" showErrorMessage="1" sqref="B197" xr:uid="{9BCDDC3B-773C-4A4B-9A8B-D582CA2B0A62}">
      <formula1>"SRO ,ชัชชัย"</formula1>
    </dataValidation>
    <dataValidation type="list" allowBlank="1" showInputMessage="1" showErrorMessage="1" sqref="D195:D196 D201:D216 D233:D244 D256:D258 D248:D251 D158 D135 D221:D227 D229:D231 D182:D189 D191:D192 D3:D12 D22:D25 D28 D37 D39 D42 D52 D63 D66 D74 D175 D170 D317:D323 D325:D355 D156 D357:D403" xr:uid="{60FD1EBE-C85C-4535-B4E0-77D742795420}">
      <formula1>"1,2,3,4,5,6,7,8,9,10,11,12,ห้องหัตถการ"</formula1>
    </dataValidation>
    <dataValidation type="list" allowBlank="1" showInputMessage="1" showErrorMessage="1" sqref="D232 D245:D247 D217:D220 D259:D316 D26:D27 D252:D255 D197:D200 D228 D190 D157 D75:D134 D13:D21 D356 D40:D41 D29:D36 D38 D43:D51 D53:D62 D64:D65 D67:D73 D159:D169 D171:D174 D176:D181 D324 D136:D155 D193:D194" xr:uid="{05E47109-A010-4FA4-B98C-7155844AE340}">
      <formula1>"1,2,3,4,5,6,7,8,9,10,11,12,ห้องหัตถการ,เสริมเด็ก"</formula1>
    </dataValidation>
    <dataValidation type="list" allowBlank="1" showInputMessage="1" showErrorMessage="1" sqref="C228 F231" xr:uid="{0F1B045E-77C6-4A9A-8B77-17F14B98B1D6}">
      <formula1>$E$200:$E$216</formula1>
    </dataValidation>
    <dataValidation type="list" allowBlank="1" showInputMessage="1" showErrorMessage="1" sqref="Q66 K66 N66 Q229:Q439 K229:K439 N229:N439" xr:uid="{DA42AC4F-BCF6-44F8-AFFF-11122B17F9E9}">
      <formula1>"กล่อง,กระปุก,ขวด,แผง,เม็ด,ซอง,เส้น,หลอด,ชิ้น,ชุด,ม้วน"</formula1>
    </dataValidation>
    <dataValidation type="list" allowBlank="1" showInputMessage="1" showErrorMessage="1" sqref="B142:B149 B154:B170 B173:B196 B198:B199 B3:B130 B276:B421" xr:uid="{0163EBC1-684E-4023-BCCB-4F00A6416982}">
      <formula1>"SRO,ชัชชัย,พีทีเอ็น"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5CD0-8B73-4BA5-82B8-741AACEA3948}">
  <sheetPr filterMode="1"/>
  <dimension ref="A1:V140"/>
  <sheetViews>
    <sheetView workbookViewId="0">
      <pane ySplit="1" topLeftCell="A2" activePane="bottomLeft" state="frozen"/>
      <selection pane="bottomLeft" activeCell="A145" sqref="A145"/>
    </sheetView>
  </sheetViews>
  <sheetFormatPr defaultRowHeight="14.25" x14ac:dyDescent="0.2"/>
  <cols>
    <col min="1" max="1" width="27.75" style="17" customWidth="1"/>
    <col min="2" max="2" width="7.25" style="17" customWidth="1"/>
    <col min="3" max="3" width="29.625" style="17" customWidth="1"/>
    <col min="4" max="4" width="23.75" style="17" customWidth="1"/>
    <col min="5" max="16384" width="9" style="17"/>
  </cols>
  <sheetData>
    <row r="1" spans="1:22" ht="66.75" thickBot="1" x14ac:dyDescent="0.25">
      <c r="A1" s="1" t="s">
        <v>31</v>
      </c>
      <c r="B1" s="2" t="s">
        <v>32</v>
      </c>
      <c r="C1" s="2" t="s">
        <v>239</v>
      </c>
      <c r="D1" s="2" t="s">
        <v>33</v>
      </c>
      <c r="E1" s="3" t="s">
        <v>34</v>
      </c>
      <c r="F1" s="4" t="s">
        <v>35</v>
      </c>
      <c r="G1" s="5" t="s">
        <v>36</v>
      </c>
      <c r="H1" s="4" t="s">
        <v>37</v>
      </c>
      <c r="I1" s="6" t="s">
        <v>38</v>
      </c>
      <c r="J1" s="6" t="s">
        <v>36</v>
      </c>
      <c r="K1" s="7" t="s">
        <v>39</v>
      </c>
      <c r="L1" s="6" t="s">
        <v>40</v>
      </c>
      <c r="M1" s="6" t="s">
        <v>36</v>
      </c>
      <c r="N1" s="7" t="s">
        <v>41</v>
      </c>
      <c r="O1" s="8">
        <v>0.2</v>
      </c>
      <c r="P1" s="8">
        <v>0.5</v>
      </c>
      <c r="Q1" s="8">
        <v>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</row>
    <row r="2" spans="1:22" ht="20.100000000000001" hidden="1" customHeight="1" thickBot="1" x14ac:dyDescent="0.25">
      <c r="A2" s="29" t="s">
        <v>47</v>
      </c>
      <c r="B2" s="9">
        <v>5</v>
      </c>
      <c r="C2" s="9"/>
      <c r="D2" s="37" t="s">
        <v>48</v>
      </c>
      <c r="E2" s="18">
        <v>160</v>
      </c>
      <c r="F2" s="19">
        <v>1</v>
      </c>
      <c r="G2" s="20" t="s">
        <v>49</v>
      </c>
      <c r="H2" s="19">
        <v>160</v>
      </c>
      <c r="I2" s="21">
        <v>12</v>
      </c>
      <c r="J2" s="21" t="s">
        <v>50</v>
      </c>
      <c r="K2" s="21">
        <v>13.33333333</v>
      </c>
      <c r="L2" s="22">
        <v>1</v>
      </c>
      <c r="M2" s="22" t="s">
        <v>51</v>
      </c>
      <c r="N2" s="23">
        <v>13.33333333</v>
      </c>
      <c r="O2" s="23">
        <v>16</v>
      </c>
      <c r="P2" s="23">
        <v>20</v>
      </c>
      <c r="Q2" s="23">
        <v>26.666666670000001</v>
      </c>
      <c r="R2" s="24">
        <v>40</v>
      </c>
      <c r="S2" s="25">
        <v>40</v>
      </c>
      <c r="T2" s="24">
        <v>1</v>
      </c>
      <c r="U2" s="24"/>
      <c r="V2" s="24"/>
    </row>
    <row r="3" spans="1:22" ht="20.100000000000001" hidden="1" customHeight="1" thickBot="1" x14ac:dyDescent="0.25">
      <c r="A3" s="29" t="s">
        <v>52</v>
      </c>
      <c r="B3" s="9">
        <v>240</v>
      </c>
      <c r="C3" s="9"/>
      <c r="D3" s="37" t="s">
        <v>53</v>
      </c>
      <c r="E3" s="18">
        <v>198</v>
      </c>
      <c r="F3" s="19">
        <v>6</v>
      </c>
      <c r="G3" s="20" t="s">
        <v>54</v>
      </c>
      <c r="H3" s="19">
        <v>33</v>
      </c>
      <c r="I3" s="21">
        <v>1</v>
      </c>
      <c r="J3" s="21" t="s">
        <v>54</v>
      </c>
      <c r="K3" s="21">
        <v>33</v>
      </c>
      <c r="L3" s="22">
        <v>1</v>
      </c>
      <c r="M3" s="22" t="s">
        <v>54</v>
      </c>
      <c r="N3" s="23">
        <v>33</v>
      </c>
      <c r="O3" s="23">
        <v>39.6</v>
      </c>
      <c r="P3" s="23">
        <v>49.5</v>
      </c>
      <c r="Q3" s="23">
        <v>66</v>
      </c>
      <c r="R3" s="24">
        <v>45</v>
      </c>
      <c r="S3" s="25">
        <v>45</v>
      </c>
      <c r="T3" s="24">
        <v>6</v>
      </c>
      <c r="U3" s="24"/>
      <c r="V3" s="24">
        <v>45</v>
      </c>
    </row>
    <row r="4" spans="1:22" ht="20.100000000000001" hidden="1" customHeight="1" thickBot="1" x14ac:dyDescent="0.25">
      <c r="A4" s="29" t="s">
        <v>55</v>
      </c>
      <c r="B4" s="9">
        <v>10</v>
      </c>
      <c r="C4" s="9"/>
      <c r="D4" s="37" t="s">
        <v>56</v>
      </c>
      <c r="E4" s="18">
        <v>40</v>
      </c>
      <c r="F4" s="19">
        <v>10</v>
      </c>
      <c r="G4" s="20" t="s">
        <v>57</v>
      </c>
      <c r="H4" s="19">
        <v>4</v>
      </c>
      <c r="I4" s="21">
        <v>10</v>
      </c>
      <c r="J4" s="21" t="s">
        <v>58</v>
      </c>
      <c r="K4" s="21">
        <v>0.4</v>
      </c>
      <c r="L4" s="22">
        <v>1</v>
      </c>
      <c r="M4" s="22" t="s">
        <v>58</v>
      </c>
      <c r="N4" s="23">
        <v>0.4</v>
      </c>
      <c r="O4" s="23">
        <v>0.48</v>
      </c>
      <c r="P4" s="23">
        <v>0.6</v>
      </c>
      <c r="Q4" s="23">
        <v>0.8</v>
      </c>
      <c r="R4" s="24">
        <v>15</v>
      </c>
      <c r="S4" s="25">
        <v>15</v>
      </c>
      <c r="T4" s="24">
        <v>10</v>
      </c>
      <c r="U4" s="24"/>
      <c r="V4" s="24">
        <v>15</v>
      </c>
    </row>
    <row r="5" spans="1:22" ht="20.100000000000001" hidden="1" customHeight="1" thickBot="1" x14ac:dyDescent="0.25">
      <c r="A5" s="29" t="s">
        <v>22</v>
      </c>
      <c r="B5" s="9">
        <v>5</v>
      </c>
      <c r="C5" s="9"/>
      <c r="D5" s="37" t="s">
        <v>59</v>
      </c>
      <c r="E5" s="18">
        <v>60</v>
      </c>
      <c r="F5" s="19">
        <v>1</v>
      </c>
      <c r="G5" s="20" t="s">
        <v>50</v>
      </c>
      <c r="H5" s="19">
        <v>60</v>
      </c>
      <c r="I5" s="21">
        <v>10</v>
      </c>
      <c r="J5" s="21" t="s">
        <v>57</v>
      </c>
      <c r="K5" s="21">
        <v>6</v>
      </c>
      <c r="L5" s="22">
        <v>10</v>
      </c>
      <c r="M5" s="22" t="s">
        <v>58</v>
      </c>
      <c r="N5" s="23">
        <v>0.6</v>
      </c>
      <c r="O5" s="23">
        <v>0.72</v>
      </c>
      <c r="P5" s="23">
        <v>0.9</v>
      </c>
      <c r="Q5" s="23">
        <v>1.2</v>
      </c>
      <c r="R5" s="24">
        <v>90</v>
      </c>
      <c r="S5" s="25">
        <v>9</v>
      </c>
      <c r="T5" s="24">
        <v>10</v>
      </c>
      <c r="U5" s="24"/>
      <c r="V5" s="24"/>
    </row>
    <row r="6" spans="1:22" ht="20.100000000000001" hidden="1" customHeight="1" thickBot="1" x14ac:dyDescent="0.25">
      <c r="A6" s="29" t="s">
        <v>60</v>
      </c>
      <c r="B6" s="9" t="s">
        <v>61</v>
      </c>
      <c r="C6" s="9"/>
      <c r="D6" s="37" t="s">
        <v>62</v>
      </c>
      <c r="E6" s="18">
        <v>19</v>
      </c>
      <c r="F6" s="19">
        <v>1</v>
      </c>
      <c r="G6" s="20" t="s">
        <v>50</v>
      </c>
      <c r="H6" s="19">
        <v>19</v>
      </c>
      <c r="I6" s="21">
        <v>1</v>
      </c>
      <c r="J6" s="21" t="s">
        <v>63</v>
      </c>
      <c r="K6" s="21">
        <v>19</v>
      </c>
      <c r="L6" s="22">
        <v>1</v>
      </c>
      <c r="M6" s="22" t="s">
        <v>64</v>
      </c>
      <c r="N6" s="23">
        <v>19</v>
      </c>
      <c r="O6" s="23">
        <v>22.8</v>
      </c>
      <c r="P6" s="23">
        <v>28.5</v>
      </c>
      <c r="Q6" s="23">
        <v>38</v>
      </c>
      <c r="R6" s="24">
        <v>25</v>
      </c>
      <c r="S6" s="25">
        <v>25</v>
      </c>
      <c r="T6" s="24">
        <v>1</v>
      </c>
      <c r="U6" s="24"/>
      <c r="V6" s="24"/>
    </row>
    <row r="7" spans="1:22" ht="20.100000000000001" hidden="1" customHeight="1" thickBot="1" x14ac:dyDescent="0.25">
      <c r="A7" s="29" t="s">
        <v>6</v>
      </c>
      <c r="B7" s="9">
        <v>1000</v>
      </c>
      <c r="C7" s="9"/>
      <c r="D7" s="37" t="s">
        <v>65</v>
      </c>
      <c r="E7" s="18">
        <v>510</v>
      </c>
      <c r="F7" s="19">
        <v>1</v>
      </c>
      <c r="G7" s="20" t="s">
        <v>50</v>
      </c>
      <c r="H7" s="19">
        <v>94</v>
      </c>
      <c r="I7" s="21">
        <v>1</v>
      </c>
      <c r="J7" s="21" t="s">
        <v>57</v>
      </c>
      <c r="K7" s="21">
        <v>94</v>
      </c>
      <c r="L7" s="22">
        <v>10</v>
      </c>
      <c r="M7" s="22" t="s">
        <v>58</v>
      </c>
      <c r="N7" s="23">
        <v>9.4</v>
      </c>
      <c r="O7" s="23">
        <v>11.28</v>
      </c>
      <c r="P7" s="23">
        <v>14.1</v>
      </c>
      <c r="Q7" s="23">
        <v>18.8</v>
      </c>
      <c r="R7" s="24">
        <v>150</v>
      </c>
      <c r="S7" s="25">
        <v>15</v>
      </c>
      <c r="T7" s="24">
        <v>5</v>
      </c>
      <c r="U7" s="24">
        <v>0</v>
      </c>
      <c r="V7" s="24">
        <v>140</v>
      </c>
    </row>
    <row r="8" spans="1:22" ht="20.100000000000001" hidden="1" customHeight="1" thickBot="1" x14ac:dyDescent="0.25">
      <c r="A8" s="29" t="s">
        <v>7</v>
      </c>
      <c r="B8" s="9">
        <v>1000</v>
      </c>
      <c r="C8" s="9"/>
      <c r="D8" s="37" t="s">
        <v>66</v>
      </c>
      <c r="E8" s="18">
        <v>93</v>
      </c>
      <c r="F8" s="19">
        <v>1</v>
      </c>
      <c r="G8" s="20" t="s">
        <v>50</v>
      </c>
      <c r="H8" s="19">
        <v>93</v>
      </c>
      <c r="I8" s="21">
        <v>1</v>
      </c>
      <c r="J8" s="21" t="s">
        <v>57</v>
      </c>
      <c r="K8" s="21">
        <v>93</v>
      </c>
      <c r="L8" s="22">
        <v>10</v>
      </c>
      <c r="M8" s="22" t="s">
        <v>58</v>
      </c>
      <c r="N8" s="23">
        <v>9.3000000000000007</v>
      </c>
      <c r="O8" s="23">
        <v>11.16</v>
      </c>
      <c r="P8" s="23">
        <v>13.95</v>
      </c>
      <c r="Q8" s="23">
        <v>18.600000000000001</v>
      </c>
      <c r="R8" s="24">
        <v>140</v>
      </c>
      <c r="S8" s="25">
        <v>14</v>
      </c>
      <c r="T8" s="24">
        <v>10</v>
      </c>
      <c r="U8" s="24"/>
      <c r="V8" s="24"/>
    </row>
    <row r="9" spans="1:22" ht="20.100000000000001" hidden="1" customHeight="1" thickBot="1" x14ac:dyDescent="0.25">
      <c r="A9" s="29" t="s">
        <v>9</v>
      </c>
      <c r="B9" s="9">
        <v>250</v>
      </c>
      <c r="C9" s="9"/>
      <c r="D9" s="37" t="s">
        <v>67</v>
      </c>
      <c r="E9" s="18">
        <v>270</v>
      </c>
      <c r="F9" s="19">
        <v>5</v>
      </c>
      <c r="G9" s="20" t="s">
        <v>50</v>
      </c>
      <c r="H9" s="19">
        <v>54</v>
      </c>
      <c r="I9" s="21">
        <v>1</v>
      </c>
      <c r="J9" s="21" t="s">
        <v>57</v>
      </c>
      <c r="K9" s="21">
        <v>54</v>
      </c>
      <c r="L9" s="22">
        <v>6</v>
      </c>
      <c r="M9" s="22" t="s">
        <v>58</v>
      </c>
      <c r="N9" s="23">
        <v>9</v>
      </c>
      <c r="O9" s="23">
        <v>10.8</v>
      </c>
      <c r="P9" s="23">
        <v>13.5</v>
      </c>
      <c r="Q9" s="23">
        <v>18</v>
      </c>
      <c r="R9" s="24">
        <v>80</v>
      </c>
      <c r="S9" s="25">
        <v>13.33333333</v>
      </c>
      <c r="T9" s="24">
        <v>5</v>
      </c>
      <c r="U9" s="24"/>
      <c r="V9" s="24">
        <v>80</v>
      </c>
    </row>
    <row r="10" spans="1:22" ht="20.100000000000001" hidden="1" customHeight="1" thickBot="1" x14ac:dyDescent="0.25">
      <c r="A10" s="29" t="s">
        <v>68</v>
      </c>
      <c r="B10" s="9" t="s">
        <v>61</v>
      </c>
      <c r="C10" s="9"/>
      <c r="D10" s="37" t="s">
        <v>69</v>
      </c>
      <c r="E10" s="18">
        <v>332</v>
      </c>
      <c r="F10" s="19">
        <v>1</v>
      </c>
      <c r="G10" s="20" t="s">
        <v>50</v>
      </c>
      <c r="H10" s="19">
        <v>332</v>
      </c>
      <c r="I10" s="21">
        <v>1</v>
      </c>
      <c r="J10" s="21" t="s">
        <v>64</v>
      </c>
      <c r="K10" s="21">
        <v>332</v>
      </c>
      <c r="L10" s="22">
        <v>1</v>
      </c>
      <c r="M10" s="22" t="s">
        <v>63</v>
      </c>
      <c r="N10" s="23">
        <v>332</v>
      </c>
      <c r="O10" s="23">
        <v>398.4</v>
      </c>
      <c r="P10" s="23">
        <v>498</v>
      </c>
      <c r="Q10" s="23">
        <v>664</v>
      </c>
      <c r="R10" s="24">
        <v>400</v>
      </c>
      <c r="S10" s="25">
        <v>400</v>
      </c>
      <c r="T10" s="24">
        <v>1</v>
      </c>
      <c r="U10" s="24"/>
      <c r="V10" s="24"/>
    </row>
    <row r="11" spans="1:22" ht="20.100000000000001" hidden="1" customHeight="1" thickBot="1" x14ac:dyDescent="0.25">
      <c r="A11" s="29" t="s">
        <v>70</v>
      </c>
      <c r="B11" s="9">
        <v>6</v>
      </c>
      <c r="C11" s="9"/>
      <c r="D11" s="37" t="s">
        <v>71</v>
      </c>
      <c r="E11" s="18">
        <v>50</v>
      </c>
      <c r="F11" s="19">
        <v>10</v>
      </c>
      <c r="G11" s="20" t="s">
        <v>57</v>
      </c>
      <c r="H11" s="19">
        <v>5</v>
      </c>
      <c r="I11" s="21">
        <v>1</v>
      </c>
      <c r="J11" s="21" t="s">
        <v>57</v>
      </c>
      <c r="K11" s="21">
        <v>5</v>
      </c>
      <c r="L11" s="22">
        <v>10</v>
      </c>
      <c r="M11" s="22" t="s">
        <v>58</v>
      </c>
      <c r="N11" s="23">
        <v>0.5</v>
      </c>
      <c r="O11" s="23">
        <v>0.6</v>
      </c>
      <c r="P11" s="23">
        <v>0.75</v>
      </c>
      <c r="Q11" s="23">
        <v>1</v>
      </c>
      <c r="R11" s="24">
        <v>30</v>
      </c>
      <c r="S11" s="25">
        <v>3</v>
      </c>
      <c r="T11" s="24">
        <v>10</v>
      </c>
      <c r="U11" s="24"/>
      <c r="V11" s="24"/>
    </row>
    <row r="12" spans="1:22" ht="20.100000000000001" hidden="1" customHeight="1" thickBot="1" x14ac:dyDescent="0.25">
      <c r="A12" s="29" t="s">
        <v>72</v>
      </c>
      <c r="B12" s="9">
        <v>5</v>
      </c>
      <c r="C12" s="9"/>
      <c r="D12" s="37" t="s">
        <v>73</v>
      </c>
      <c r="E12" s="18">
        <v>164</v>
      </c>
      <c r="F12" s="19">
        <v>1</v>
      </c>
      <c r="G12" s="20" t="s">
        <v>49</v>
      </c>
      <c r="H12" s="19">
        <v>164</v>
      </c>
      <c r="I12" s="21">
        <v>12</v>
      </c>
      <c r="J12" s="21" t="s">
        <v>51</v>
      </c>
      <c r="K12" s="21">
        <v>13.66666667</v>
      </c>
      <c r="L12" s="22">
        <v>1</v>
      </c>
      <c r="M12" s="22" t="s">
        <v>51</v>
      </c>
      <c r="N12" s="23">
        <v>13.66666667</v>
      </c>
      <c r="O12" s="23">
        <v>16.399999999999999</v>
      </c>
      <c r="P12" s="23">
        <v>20.5</v>
      </c>
      <c r="Q12" s="23">
        <v>27.333333329999999</v>
      </c>
      <c r="R12" s="24">
        <v>30</v>
      </c>
      <c r="S12" s="25">
        <v>30</v>
      </c>
      <c r="T12" s="24">
        <v>12</v>
      </c>
      <c r="U12" s="24"/>
      <c r="V12" s="24"/>
    </row>
    <row r="13" spans="1:22" ht="20.100000000000001" hidden="1" customHeight="1" thickBot="1" x14ac:dyDescent="0.25">
      <c r="A13" s="29" t="s">
        <v>74</v>
      </c>
      <c r="B13" s="9">
        <v>5</v>
      </c>
      <c r="C13" s="9"/>
      <c r="D13" s="37" t="s">
        <v>75</v>
      </c>
      <c r="E13" s="18">
        <v>100.5</v>
      </c>
      <c r="F13" s="19">
        <v>6</v>
      </c>
      <c r="G13" s="20" t="s">
        <v>50</v>
      </c>
      <c r="H13" s="19">
        <v>16.75</v>
      </c>
      <c r="I13" s="21">
        <v>1</v>
      </c>
      <c r="J13" s="21" t="s">
        <v>51</v>
      </c>
      <c r="K13" s="21">
        <v>16.75</v>
      </c>
      <c r="L13" s="22">
        <v>1</v>
      </c>
      <c r="M13" s="22" t="s">
        <v>51</v>
      </c>
      <c r="N13" s="23">
        <v>16.75</v>
      </c>
      <c r="O13" s="23">
        <v>20.100000000000001</v>
      </c>
      <c r="P13" s="23">
        <v>25.125</v>
      </c>
      <c r="Q13" s="23">
        <v>33.5</v>
      </c>
      <c r="R13" s="24">
        <v>30</v>
      </c>
      <c r="S13" s="25">
        <v>30</v>
      </c>
      <c r="T13" s="24">
        <v>6</v>
      </c>
      <c r="U13" s="24"/>
      <c r="V13" s="24"/>
    </row>
    <row r="14" spans="1:22" ht="20.100000000000001" hidden="1" customHeight="1" thickBot="1" x14ac:dyDescent="0.25">
      <c r="A14" s="29" t="s">
        <v>76</v>
      </c>
      <c r="B14" s="9">
        <v>60</v>
      </c>
      <c r="C14" s="9"/>
      <c r="D14" s="37" t="s">
        <v>77</v>
      </c>
      <c r="E14" s="18">
        <v>173</v>
      </c>
      <c r="F14" s="19">
        <v>1</v>
      </c>
      <c r="G14" s="20" t="s">
        <v>49</v>
      </c>
      <c r="H14" s="19">
        <v>173</v>
      </c>
      <c r="I14" s="21">
        <v>12</v>
      </c>
      <c r="J14" s="21" t="s">
        <v>54</v>
      </c>
      <c r="K14" s="21">
        <v>14.41666667</v>
      </c>
      <c r="L14" s="22">
        <v>1</v>
      </c>
      <c r="M14" s="22" t="s">
        <v>54</v>
      </c>
      <c r="N14" s="23">
        <v>14.41666667</v>
      </c>
      <c r="O14" s="23">
        <v>17.3</v>
      </c>
      <c r="P14" s="23">
        <v>21.625</v>
      </c>
      <c r="Q14" s="23">
        <v>28.833333329999999</v>
      </c>
      <c r="R14" s="24">
        <v>20</v>
      </c>
      <c r="S14" s="25">
        <v>20</v>
      </c>
      <c r="T14" s="24">
        <v>12</v>
      </c>
      <c r="U14" s="24"/>
      <c r="V14" s="24"/>
    </row>
    <row r="15" spans="1:22" ht="20.100000000000001" hidden="1" customHeight="1" thickBot="1" x14ac:dyDescent="0.25">
      <c r="A15" s="29" t="s">
        <v>3</v>
      </c>
      <c r="B15" s="9">
        <v>8</v>
      </c>
      <c r="C15" s="9"/>
      <c r="D15" s="37" t="s">
        <v>78</v>
      </c>
      <c r="E15" s="18">
        <v>110</v>
      </c>
      <c r="F15" s="19">
        <v>1</v>
      </c>
      <c r="G15" s="20" t="s">
        <v>50</v>
      </c>
      <c r="H15" s="19">
        <v>110</v>
      </c>
      <c r="I15" s="21">
        <v>100</v>
      </c>
      <c r="J15" s="21" t="s">
        <v>57</v>
      </c>
      <c r="K15" s="21">
        <v>1.1000000000000001</v>
      </c>
      <c r="L15" s="22">
        <v>10</v>
      </c>
      <c r="M15" s="22" t="s">
        <v>58</v>
      </c>
      <c r="N15" s="23">
        <v>0.11</v>
      </c>
      <c r="O15" s="23">
        <v>0.13200000000000001</v>
      </c>
      <c r="P15" s="23">
        <v>0.16500000000000001</v>
      </c>
      <c r="Q15" s="23">
        <v>0.22</v>
      </c>
      <c r="R15" s="24">
        <v>20</v>
      </c>
      <c r="S15" s="25">
        <v>2</v>
      </c>
      <c r="T15" s="24">
        <v>1</v>
      </c>
      <c r="U15" s="24"/>
      <c r="V15" s="24">
        <v>25</v>
      </c>
    </row>
    <row r="16" spans="1:22" ht="20.100000000000001" hidden="1" customHeight="1" thickBot="1" x14ac:dyDescent="0.25">
      <c r="A16" s="29" t="s">
        <v>79</v>
      </c>
      <c r="B16" s="9">
        <v>10</v>
      </c>
      <c r="C16" s="9"/>
      <c r="D16" s="37" t="s">
        <v>80</v>
      </c>
      <c r="E16" s="18">
        <v>228</v>
      </c>
      <c r="F16" s="19">
        <v>6</v>
      </c>
      <c r="G16" s="20" t="s">
        <v>50</v>
      </c>
      <c r="H16" s="19">
        <v>38</v>
      </c>
      <c r="I16" s="21">
        <v>1</v>
      </c>
      <c r="J16" s="21" t="s">
        <v>81</v>
      </c>
      <c r="K16" s="21">
        <v>38</v>
      </c>
      <c r="L16" s="22">
        <v>1</v>
      </c>
      <c r="M16" s="22" t="s">
        <v>81</v>
      </c>
      <c r="N16" s="23">
        <v>38</v>
      </c>
      <c r="O16" s="23">
        <v>45.6</v>
      </c>
      <c r="P16" s="23">
        <v>57</v>
      </c>
      <c r="Q16" s="23">
        <v>76</v>
      </c>
      <c r="R16" s="24">
        <v>60</v>
      </c>
      <c r="S16" s="25">
        <v>60</v>
      </c>
      <c r="T16" s="24">
        <v>6</v>
      </c>
      <c r="U16" s="24"/>
      <c r="V16" s="24"/>
    </row>
    <row r="17" spans="1:22" ht="20.100000000000001" hidden="1" customHeight="1" thickBot="1" x14ac:dyDescent="0.25">
      <c r="A17" s="29" t="s">
        <v>82</v>
      </c>
      <c r="B17" s="9">
        <v>200</v>
      </c>
      <c r="C17" s="9"/>
      <c r="D17" s="37" t="s">
        <v>83</v>
      </c>
      <c r="E17" s="18">
        <v>167</v>
      </c>
      <c r="F17" s="19">
        <v>1</v>
      </c>
      <c r="G17" s="20" t="s">
        <v>50</v>
      </c>
      <c r="H17" s="19">
        <v>167</v>
      </c>
      <c r="I17" s="21">
        <v>3</v>
      </c>
      <c r="J17" s="21" t="s">
        <v>57</v>
      </c>
      <c r="K17" s="21">
        <v>55.666666669999998</v>
      </c>
      <c r="L17" s="22">
        <v>10</v>
      </c>
      <c r="M17" s="22" t="s">
        <v>58</v>
      </c>
      <c r="N17" s="23">
        <v>5.5666666669999998</v>
      </c>
      <c r="O17" s="23">
        <v>6.68</v>
      </c>
      <c r="P17" s="23">
        <v>8.35</v>
      </c>
      <c r="Q17" s="23">
        <v>11.133333329999999</v>
      </c>
      <c r="R17" s="9">
        <v>200</v>
      </c>
      <c r="S17" s="25">
        <v>20</v>
      </c>
      <c r="T17" s="9">
        <v>1</v>
      </c>
      <c r="U17" s="9"/>
      <c r="V17" s="9"/>
    </row>
    <row r="18" spans="1:22" ht="20.100000000000001" hidden="1" customHeight="1" thickBot="1" x14ac:dyDescent="0.25">
      <c r="A18" s="29" t="s">
        <v>0</v>
      </c>
      <c r="B18" s="9">
        <v>10</v>
      </c>
      <c r="C18" s="9"/>
      <c r="D18" s="37" t="s">
        <v>84</v>
      </c>
      <c r="E18" s="18">
        <v>105</v>
      </c>
      <c r="F18" s="19">
        <v>1</v>
      </c>
      <c r="G18" s="20" t="s">
        <v>50</v>
      </c>
      <c r="H18" s="19">
        <v>105</v>
      </c>
      <c r="I18" s="21">
        <v>50</v>
      </c>
      <c r="J18" s="21" t="s">
        <v>57</v>
      </c>
      <c r="K18" s="21">
        <v>2.1</v>
      </c>
      <c r="L18" s="22">
        <v>10</v>
      </c>
      <c r="M18" s="22" t="s">
        <v>58</v>
      </c>
      <c r="N18" s="23">
        <v>0.21</v>
      </c>
      <c r="O18" s="23">
        <v>0.252</v>
      </c>
      <c r="P18" s="23">
        <v>0.315</v>
      </c>
      <c r="Q18" s="23">
        <v>0.42</v>
      </c>
      <c r="R18" s="24">
        <v>20</v>
      </c>
      <c r="S18" s="25">
        <v>2</v>
      </c>
      <c r="T18" s="24">
        <v>1</v>
      </c>
      <c r="U18" s="24"/>
      <c r="V18" s="24">
        <v>20</v>
      </c>
    </row>
    <row r="19" spans="1:22" ht="20.100000000000001" hidden="1" customHeight="1" thickBot="1" x14ac:dyDescent="0.25">
      <c r="A19" s="29" t="s">
        <v>1</v>
      </c>
      <c r="B19" s="9">
        <v>4</v>
      </c>
      <c r="C19" s="9"/>
      <c r="D19" s="37" t="s">
        <v>85</v>
      </c>
      <c r="E19" s="18">
        <v>112</v>
      </c>
      <c r="F19" s="19">
        <v>1</v>
      </c>
      <c r="G19" s="20" t="s">
        <v>86</v>
      </c>
      <c r="H19" s="19">
        <v>112</v>
      </c>
      <c r="I19" s="26">
        <v>1000</v>
      </c>
      <c r="J19" s="21" t="s">
        <v>58</v>
      </c>
      <c r="K19" s="21">
        <v>0.112</v>
      </c>
      <c r="L19" s="22">
        <v>1</v>
      </c>
      <c r="M19" s="22" t="s">
        <v>58</v>
      </c>
      <c r="N19" s="23">
        <v>0.112</v>
      </c>
      <c r="O19" s="23">
        <v>0.13439999999999999</v>
      </c>
      <c r="P19" s="23">
        <v>0.16800000000000001</v>
      </c>
      <c r="Q19" s="23">
        <v>0.224</v>
      </c>
      <c r="R19" s="9">
        <v>0.4</v>
      </c>
      <c r="S19" s="25">
        <v>0.4</v>
      </c>
      <c r="T19" s="9">
        <v>1</v>
      </c>
      <c r="U19" s="9"/>
      <c r="V19" s="9"/>
    </row>
    <row r="20" spans="1:22" ht="20.100000000000001" hidden="1" customHeight="1" thickBot="1" x14ac:dyDescent="0.25">
      <c r="A20" s="29" t="s">
        <v>25</v>
      </c>
      <c r="B20" s="9">
        <v>500</v>
      </c>
      <c r="C20" s="9"/>
      <c r="D20" s="37" t="s">
        <v>87</v>
      </c>
      <c r="E20" s="18">
        <v>115</v>
      </c>
      <c r="F20" s="19">
        <v>1</v>
      </c>
      <c r="G20" s="20" t="s">
        <v>50</v>
      </c>
      <c r="H20" s="19">
        <v>115</v>
      </c>
      <c r="I20" s="21">
        <v>10</v>
      </c>
      <c r="J20" s="21" t="s">
        <v>57</v>
      </c>
      <c r="K20" s="21">
        <v>11.5</v>
      </c>
      <c r="L20" s="22">
        <v>10</v>
      </c>
      <c r="M20" s="22" t="s">
        <v>58</v>
      </c>
      <c r="N20" s="23">
        <v>1.1499999999999999</v>
      </c>
      <c r="O20" s="23">
        <v>1.38</v>
      </c>
      <c r="P20" s="23">
        <v>1.7250000000000001</v>
      </c>
      <c r="Q20" s="23">
        <v>2.2999999999999998</v>
      </c>
      <c r="R20" s="24">
        <v>20</v>
      </c>
      <c r="S20" s="25">
        <v>2</v>
      </c>
      <c r="T20" s="24">
        <v>1</v>
      </c>
      <c r="U20" s="24"/>
      <c r="V20" s="24">
        <v>35</v>
      </c>
    </row>
    <row r="21" spans="1:22" ht="20.100000000000001" hidden="1" customHeight="1" thickBot="1" x14ac:dyDescent="0.25">
      <c r="A21" s="29" t="s">
        <v>21</v>
      </c>
      <c r="B21" s="9">
        <v>5</v>
      </c>
      <c r="C21" s="9"/>
      <c r="D21" s="37" t="s">
        <v>88</v>
      </c>
      <c r="E21" s="18">
        <v>36.75</v>
      </c>
      <c r="F21" s="19">
        <v>3</v>
      </c>
      <c r="G21" s="20" t="s">
        <v>50</v>
      </c>
      <c r="H21" s="19">
        <v>12.25</v>
      </c>
      <c r="I21" s="21">
        <v>1</v>
      </c>
      <c r="J21" s="21" t="s">
        <v>50</v>
      </c>
      <c r="K21" s="21">
        <v>12.25</v>
      </c>
      <c r="L21" s="22">
        <v>1</v>
      </c>
      <c r="M21" s="22" t="s">
        <v>51</v>
      </c>
      <c r="N21" s="23">
        <v>12.25</v>
      </c>
      <c r="O21" s="23">
        <v>14.7</v>
      </c>
      <c r="P21" s="23">
        <v>18.375</v>
      </c>
      <c r="Q21" s="23">
        <v>24.5</v>
      </c>
      <c r="R21" s="24">
        <v>40</v>
      </c>
      <c r="S21" s="25">
        <v>40</v>
      </c>
      <c r="T21" s="24">
        <v>3</v>
      </c>
      <c r="U21" s="24"/>
      <c r="V21" s="24"/>
    </row>
    <row r="22" spans="1:22" ht="20.100000000000001" hidden="1" customHeight="1" thickBot="1" x14ac:dyDescent="0.25">
      <c r="A22" s="29" t="s">
        <v>89</v>
      </c>
      <c r="B22" s="9">
        <v>5</v>
      </c>
      <c r="C22" s="9"/>
      <c r="D22" s="37" t="s">
        <v>90</v>
      </c>
      <c r="E22" s="18">
        <v>88.5</v>
      </c>
      <c r="F22" s="19">
        <v>6</v>
      </c>
      <c r="G22" s="20" t="s">
        <v>50</v>
      </c>
      <c r="H22" s="19">
        <v>14.75</v>
      </c>
      <c r="I22" s="21">
        <v>1</v>
      </c>
      <c r="J22" s="21" t="s">
        <v>51</v>
      </c>
      <c r="K22" s="21">
        <v>14.75</v>
      </c>
      <c r="L22" s="22">
        <v>1</v>
      </c>
      <c r="M22" s="22" t="s">
        <v>51</v>
      </c>
      <c r="N22" s="23">
        <v>14.75</v>
      </c>
      <c r="O22" s="23">
        <v>17.7</v>
      </c>
      <c r="P22" s="23">
        <v>22.125</v>
      </c>
      <c r="Q22" s="23">
        <v>29.5</v>
      </c>
      <c r="R22" s="24">
        <v>40</v>
      </c>
      <c r="S22" s="25">
        <v>40</v>
      </c>
      <c r="T22" s="24">
        <v>6</v>
      </c>
      <c r="U22" s="24"/>
      <c r="V22" s="24"/>
    </row>
    <row r="23" spans="1:22" ht="20.100000000000001" hidden="1" customHeight="1" thickBot="1" x14ac:dyDescent="0.25">
      <c r="A23" s="29" t="s">
        <v>91</v>
      </c>
      <c r="B23" s="9">
        <v>15</v>
      </c>
      <c r="C23" s="9"/>
      <c r="D23" s="37" t="s">
        <v>92</v>
      </c>
      <c r="E23" s="18">
        <v>120</v>
      </c>
      <c r="F23" s="19">
        <v>1</v>
      </c>
      <c r="G23" s="20" t="s">
        <v>50</v>
      </c>
      <c r="H23" s="19">
        <v>120</v>
      </c>
      <c r="I23" s="21">
        <v>10</v>
      </c>
      <c r="J23" s="21" t="s">
        <v>57</v>
      </c>
      <c r="K23" s="21">
        <v>12</v>
      </c>
      <c r="L23" s="22">
        <v>10</v>
      </c>
      <c r="M23" s="22" t="s">
        <v>58</v>
      </c>
      <c r="N23" s="23">
        <v>1.2</v>
      </c>
      <c r="O23" s="23">
        <v>1.44</v>
      </c>
      <c r="P23" s="23">
        <v>1.8</v>
      </c>
      <c r="Q23" s="23">
        <v>2.4</v>
      </c>
      <c r="R23" s="24">
        <v>35</v>
      </c>
      <c r="S23" s="25">
        <v>3.5</v>
      </c>
      <c r="T23" s="24">
        <v>1</v>
      </c>
      <c r="U23" s="24"/>
      <c r="V23" s="24"/>
    </row>
    <row r="24" spans="1:22" ht="20.100000000000001" hidden="1" customHeight="1" thickBot="1" x14ac:dyDescent="0.25">
      <c r="A24" s="29" t="s">
        <v>93</v>
      </c>
      <c r="B24" s="9">
        <v>500</v>
      </c>
      <c r="C24" s="9"/>
      <c r="D24" s="37" t="s">
        <v>94</v>
      </c>
      <c r="E24" s="18">
        <v>220</v>
      </c>
      <c r="F24" s="19">
        <v>10</v>
      </c>
      <c r="G24" s="20" t="s">
        <v>57</v>
      </c>
      <c r="H24" s="19">
        <v>22</v>
      </c>
      <c r="I24" s="21">
        <v>1</v>
      </c>
      <c r="J24" s="21" t="s">
        <v>57</v>
      </c>
      <c r="K24" s="21">
        <v>22</v>
      </c>
      <c r="L24" s="22">
        <v>10</v>
      </c>
      <c r="M24" s="22" t="s">
        <v>58</v>
      </c>
      <c r="N24" s="23">
        <v>2.2000000000000002</v>
      </c>
      <c r="O24" s="23">
        <v>2.64</v>
      </c>
      <c r="P24" s="23">
        <v>3.3</v>
      </c>
      <c r="Q24" s="23">
        <v>4.4000000000000004</v>
      </c>
      <c r="R24" s="24">
        <v>35</v>
      </c>
      <c r="S24" s="25">
        <v>3.5</v>
      </c>
      <c r="T24" s="24">
        <v>10</v>
      </c>
      <c r="U24" s="24"/>
      <c r="V24" s="24">
        <v>35</v>
      </c>
    </row>
    <row r="25" spans="1:22" ht="20.100000000000001" hidden="1" customHeight="1" thickBot="1" x14ac:dyDescent="0.25">
      <c r="A25" s="29" t="s">
        <v>29</v>
      </c>
      <c r="B25" s="9">
        <v>1</v>
      </c>
      <c r="C25" s="9"/>
      <c r="D25" s="37" t="s">
        <v>95</v>
      </c>
      <c r="E25" s="18">
        <v>45.5</v>
      </c>
      <c r="F25" s="19">
        <v>1</v>
      </c>
      <c r="G25" s="20" t="s">
        <v>50</v>
      </c>
      <c r="H25" s="19">
        <v>45.5</v>
      </c>
      <c r="I25" s="21">
        <v>10</v>
      </c>
      <c r="J25" s="21" t="s">
        <v>96</v>
      </c>
      <c r="K25" s="21">
        <v>4.55</v>
      </c>
      <c r="L25" s="22">
        <v>1</v>
      </c>
      <c r="M25" s="22" t="s">
        <v>96</v>
      </c>
      <c r="N25" s="23">
        <v>4.55</v>
      </c>
      <c r="O25" s="23">
        <v>5.46</v>
      </c>
      <c r="P25" s="23">
        <v>6.8250000000000002</v>
      </c>
      <c r="Q25" s="23">
        <v>9.1</v>
      </c>
      <c r="R25" s="24">
        <v>20</v>
      </c>
      <c r="S25" s="25">
        <v>20</v>
      </c>
      <c r="T25" s="24">
        <v>1</v>
      </c>
      <c r="U25" s="24"/>
      <c r="V25" s="24"/>
    </row>
    <row r="26" spans="1:22" ht="20.100000000000001" hidden="1" customHeight="1" thickBot="1" x14ac:dyDescent="0.25">
      <c r="A26" s="29" t="s">
        <v>13</v>
      </c>
      <c r="B26" s="9">
        <v>2</v>
      </c>
      <c r="C26" s="9"/>
      <c r="D26" s="37" t="s">
        <v>97</v>
      </c>
      <c r="E26" s="18">
        <v>91</v>
      </c>
      <c r="F26" s="19">
        <v>1</v>
      </c>
      <c r="G26" s="20" t="s">
        <v>50</v>
      </c>
      <c r="H26" s="19">
        <v>91</v>
      </c>
      <c r="I26" s="21">
        <v>10</v>
      </c>
      <c r="J26" s="21" t="s">
        <v>57</v>
      </c>
      <c r="K26" s="21">
        <v>9.1</v>
      </c>
      <c r="L26" s="22">
        <v>10</v>
      </c>
      <c r="M26" s="22" t="s">
        <v>58</v>
      </c>
      <c r="N26" s="23">
        <v>0.91</v>
      </c>
      <c r="O26" s="23">
        <v>1.0920000000000001</v>
      </c>
      <c r="P26" s="23">
        <v>1.365</v>
      </c>
      <c r="Q26" s="23">
        <v>1.82</v>
      </c>
      <c r="R26" s="24">
        <v>150</v>
      </c>
      <c r="S26" s="25">
        <v>15</v>
      </c>
      <c r="T26" s="24">
        <v>1</v>
      </c>
      <c r="U26" s="24"/>
      <c r="V26" s="24"/>
    </row>
    <row r="27" spans="1:22" ht="20.100000000000001" hidden="1" customHeight="1" thickBot="1" x14ac:dyDescent="0.25">
      <c r="A27" s="29" t="s">
        <v>28</v>
      </c>
      <c r="B27" s="9">
        <v>100</v>
      </c>
      <c r="C27" s="9"/>
      <c r="D27" s="37" t="s">
        <v>98</v>
      </c>
      <c r="E27" s="18">
        <v>80</v>
      </c>
      <c r="F27" s="19">
        <v>10</v>
      </c>
      <c r="G27" s="20" t="s">
        <v>57</v>
      </c>
      <c r="H27" s="19">
        <v>8</v>
      </c>
      <c r="I27" s="21">
        <v>1</v>
      </c>
      <c r="J27" s="21" t="s">
        <v>57</v>
      </c>
      <c r="K27" s="21">
        <v>8</v>
      </c>
      <c r="L27" s="22">
        <v>10</v>
      </c>
      <c r="M27" s="22" t="s">
        <v>58</v>
      </c>
      <c r="N27" s="23">
        <v>0.8</v>
      </c>
      <c r="O27" s="23">
        <v>0.96</v>
      </c>
      <c r="P27" s="23">
        <v>1.2</v>
      </c>
      <c r="Q27" s="23">
        <v>1.6</v>
      </c>
      <c r="R27" s="24">
        <v>110</v>
      </c>
      <c r="S27" s="25">
        <v>11</v>
      </c>
      <c r="T27" s="24">
        <v>10</v>
      </c>
      <c r="U27" s="24"/>
      <c r="V27" s="24"/>
    </row>
    <row r="28" spans="1:22" ht="20.100000000000001" hidden="1" customHeight="1" thickBot="1" x14ac:dyDescent="0.25">
      <c r="A28" s="29" t="s">
        <v>12</v>
      </c>
      <c r="B28" s="9">
        <v>5</v>
      </c>
      <c r="C28" s="9"/>
      <c r="D28" s="37" t="s">
        <v>99</v>
      </c>
      <c r="E28" s="18">
        <v>59</v>
      </c>
      <c r="F28" s="19">
        <v>1</v>
      </c>
      <c r="G28" s="20" t="s">
        <v>50</v>
      </c>
      <c r="H28" s="19">
        <v>59</v>
      </c>
      <c r="I28" s="21">
        <v>10</v>
      </c>
      <c r="J28" s="21" t="s">
        <v>57</v>
      </c>
      <c r="K28" s="21">
        <v>5.9</v>
      </c>
      <c r="L28" s="22">
        <v>10</v>
      </c>
      <c r="M28" s="22" t="s">
        <v>58</v>
      </c>
      <c r="N28" s="23">
        <v>0.59</v>
      </c>
      <c r="O28" s="23">
        <v>0.70799999999999996</v>
      </c>
      <c r="P28" s="23">
        <v>0.88500000000000001</v>
      </c>
      <c r="Q28" s="23">
        <v>1.18</v>
      </c>
      <c r="R28" s="24">
        <v>90</v>
      </c>
      <c r="S28" s="25">
        <v>9</v>
      </c>
      <c r="T28" s="24">
        <v>1</v>
      </c>
      <c r="U28" s="24"/>
      <c r="V28" s="24">
        <v>25</v>
      </c>
    </row>
    <row r="29" spans="1:22" ht="20.100000000000001" hidden="1" customHeight="1" thickBot="1" x14ac:dyDescent="0.25">
      <c r="A29" s="29" t="s">
        <v>100</v>
      </c>
      <c r="B29" s="9">
        <v>90</v>
      </c>
      <c r="C29" s="9"/>
      <c r="D29" s="37" t="s">
        <v>101</v>
      </c>
      <c r="E29" s="18">
        <v>150</v>
      </c>
      <c r="F29" s="19">
        <v>1</v>
      </c>
      <c r="G29" s="20" t="s">
        <v>50</v>
      </c>
      <c r="H29" s="19">
        <v>150</v>
      </c>
      <c r="I29" s="21">
        <v>3</v>
      </c>
      <c r="J29" s="21" t="s">
        <v>57</v>
      </c>
      <c r="K29" s="21">
        <v>50</v>
      </c>
      <c r="L29" s="22">
        <v>10</v>
      </c>
      <c r="M29" s="22" t="s">
        <v>58</v>
      </c>
      <c r="N29" s="23">
        <v>5</v>
      </c>
      <c r="O29" s="23">
        <v>6</v>
      </c>
      <c r="P29" s="23">
        <v>7.5</v>
      </c>
      <c r="Q29" s="23">
        <v>10</v>
      </c>
      <c r="R29" s="24">
        <v>200</v>
      </c>
      <c r="S29" s="25">
        <v>20</v>
      </c>
      <c r="T29" s="24">
        <v>1</v>
      </c>
      <c r="U29" s="24"/>
      <c r="V29" s="24"/>
    </row>
    <row r="30" spans="1:22" ht="20.100000000000001" hidden="1" customHeight="1" thickBot="1" x14ac:dyDescent="0.25">
      <c r="A30" s="29" t="s">
        <v>100</v>
      </c>
      <c r="B30" s="9">
        <v>120</v>
      </c>
      <c r="C30" s="9"/>
      <c r="D30" s="37" t="s">
        <v>101</v>
      </c>
      <c r="E30" s="18">
        <v>228</v>
      </c>
      <c r="F30" s="19">
        <v>1</v>
      </c>
      <c r="G30" s="20" t="s">
        <v>50</v>
      </c>
      <c r="H30" s="19">
        <v>228</v>
      </c>
      <c r="I30" s="21">
        <v>1</v>
      </c>
      <c r="J30" s="21" t="s">
        <v>57</v>
      </c>
      <c r="K30" s="21">
        <v>228</v>
      </c>
      <c r="L30" s="22">
        <v>5</v>
      </c>
      <c r="M30" s="22" t="s">
        <v>58</v>
      </c>
      <c r="N30" s="23">
        <v>45.6</v>
      </c>
      <c r="O30" s="23">
        <v>54.72</v>
      </c>
      <c r="P30" s="23">
        <v>68.400000000000006</v>
      </c>
      <c r="Q30" s="23">
        <v>91.2</v>
      </c>
      <c r="R30" s="24">
        <v>250</v>
      </c>
      <c r="S30" s="25">
        <v>50</v>
      </c>
      <c r="T30" s="24">
        <v>1</v>
      </c>
      <c r="U30" s="24"/>
      <c r="V30" s="24"/>
    </row>
    <row r="31" spans="1:22" ht="20.100000000000001" customHeight="1" thickBot="1" x14ac:dyDescent="0.25">
      <c r="A31" s="29" t="s">
        <v>102</v>
      </c>
      <c r="B31" s="9">
        <v>180</v>
      </c>
      <c r="C31" s="9"/>
      <c r="D31" s="37" t="s">
        <v>103</v>
      </c>
      <c r="E31" s="18">
        <v>313.75</v>
      </c>
      <c r="F31" s="19">
        <v>5</v>
      </c>
      <c r="G31" s="20" t="s">
        <v>104</v>
      </c>
      <c r="H31" s="19">
        <v>62.75</v>
      </c>
      <c r="I31" s="21">
        <v>1</v>
      </c>
      <c r="J31" s="21" t="s">
        <v>57</v>
      </c>
      <c r="K31" s="21">
        <v>62.75</v>
      </c>
      <c r="L31" s="22">
        <v>10</v>
      </c>
      <c r="M31" s="22" t="s">
        <v>58</v>
      </c>
      <c r="N31" s="23">
        <v>6.2750000000000004</v>
      </c>
      <c r="O31" s="23">
        <v>7.53</v>
      </c>
      <c r="P31" s="23">
        <v>9.4124999999999996</v>
      </c>
      <c r="Q31" s="23">
        <v>12.55</v>
      </c>
      <c r="R31" s="24">
        <v>110</v>
      </c>
      <c r="S31" s="25">
        <v>11</v>
      </c>
      <c r="T31" s="24">
        <v>5</v>
      </c>
      <c r="U31" s="24"/>
      <c r="V31" s="24" t="s">
        <v>105</v>
      </c>
    </row>
    <row r="32" spans="1:22" ht="20.100000000000001" hidden="1" customHeight="1" thickBot="1" x14ac:dyDescent="0.25">
      <c r="A32" s="29" t="s">
        <v>15</v>
      </c>
      <c r="B32" s="9">
        <v>5</v>
      </c>
      <c r="C32" s="9"/>
      <c r="D32" s="37" t="s">
        <v>106</v>
      </c>
      <c r="E32" s="18">
        <v>55</v>
      </c>
      <c r="F32" s="19">
        <v>1</v>
      </c>
      <c r="G32" s="20" t="s">
        <v>50</v>
      </c>
      <c r="H32" s="19">
        <v>55</v>
      </c>
      <c r="I32" s="21">
        <v>10</v>
      </c>
      <c r="J32" s="21" t="s">
        <v>57</v>
      </c>
      <c r="K32" s="21">
        <v>5.5</v>
      </c>
      <c r="L32" s="22">
        <v>10</v>
      </c>
      <c r="M32" s="22" t="s">
        <v>58</v>
      </c>
      <c r="N32" s="23">
        <v>0.55000000000000004</v>
      </c>
      <c r="O32" s="23">
        <v>0.66</v>
      </c>
      <c r="P32" s="23">
        <v>0.82499999999999996</v>
      </c>
      <c r="Q32" s="23">
        <v>1.1000000000000001</v>
      </c>
      <c r="R32" s="24">
        <v>70</v>
      </c>
      <c r="S32" s="25">
        <v>7</v>
      </c>
      <c r="T32" s="24">
        <v>1</v>
      </c>
      <c r="U32" s="24"/>
      <c r="V32" s="24"/>
    </row>
    <row r="33" spans="1:22" ht="20.100000000000001" hidden="1" customHeight="1" thickBot="1" x14ac:dyDescent="0.25">
      <c r="A33" s="29" t="s">
        <v>107</v>
      </c>
      <c r="B33" s="9">
        <v>400</v>
      </c>
      <c r="C33" s="9"/>
      <c r="D33" s="37" t="s">
        <v>107</v>
      </c>
      <c r="E33" s="18">
        <v>125</v>
      </c>
      <c r="F33" s="19">
        <v>1</v>
      </c>
      <c r="G33" s="20" t="s">
        <v>50</v>
      </c>
      <c r="H33" s="19">
        <v>125</v>
      </c>
      <c r="I33" s="21">
        <v>1</v>
      </c>
      <c r="J33" s="21" t="s">
        <v>57</v>
      </c>
      <c r="K33" s="21">
        <v>125</v>
      </c>
      <c r="L33" s="22">
        <v>10</v>
      </c>
      <c r="M33" s="22" t="s">
        <v>58</v>
      </c>
      <c r="N33" s="23">
        <v>12.5</v>
      </c>
      <c r="O33" s="23">
        <v>15</v>
      </c>
      <c r="P33" s="23">
        <v>18.75</v>
      </c>
      <c r="Q33" s="23">
        <v>25</v>
      </c>
      <c r="R33" s="24">
        <v>140</v>
      </c>
      <c r="S33" s="25">
        <v>14</v>
      </c>
      <c r="T33" s="24">
        <v>1</v>
      </c>
      <c r="U33" s="24"/>
      <c r="V33" s="24"/>
    </row>
    <row r="34" spans="1:22" ht="20.100000000000001" hidden="1" customHeight="1" thickBot="1" x14ac:dyDescent="0.25">
      <c r="A34" s="29" t="s">
        <v>18</v>
      </c>
      <c r="B34" s="9">
        <v>10</v>
      </c>
      <c r="C34" s="9"/>
      <c r="D34" s="37" t="s">
        <v>108</v>
      </c>
      <c r="E34" s="18">
        <v>40</v>
      </c>
      <c r="F34" s="19">
        <v>20</v>
      </c>
      <c r="G34" s="20" t="s">
        <v>57</v>
      </c>
      <c r="H34" s="19">
        <v>2</v>
      </c>
      <c r="I34" s="21">
        <v>1</v>
      </c>
      <c r="J34" s="21" t="s">
        <v>57</v>
      </c>
      <c r="K34" s="21">
        <v>2</v>
      </c>
      <c r="L34" s="22">
        <v>10</v>
      </c>
      <c r="M34" s="22" t="s">
        <v>58</v>
      </c>
      <c r="N34" s="23">
        <v>0.2</v>
      </c>
      <c r="O34" s="23">
        <v>0.24</v>
      </c>
      <c r="P34" s="23">
        <v>0.3</v>
      </c>
      <c r="Q34" s="23">
        <v>0.4</v>
      </c>
      <c r="R34" s="9">
        <v>5</v>
      </c>
      <c r="S34" s="25">
        <v>0.5</v>
      </c>
      <c r="T34" s="9">
        <v>20</v>
      </c>
      <c r="U34" s="9"/>
      <c r="V34" s="9"/>
    </row>
    <row r="35" spans="1:22" ht="20.100000000000001" hidden="1" customHeight="1" thickBot="1" x14ac:dyDescent="0.25">
      <c r="A35" s="29" t="s">
        <v>4</v>
      </c>
      <c r="B35" s="9">
        <v>400</v>
      </c>
      <c r="C35" s="9"/>
      <c r="D35" s="37" t="s">
        <v>109</v>
      </c>
      <c r="E35" s="18">
        <v>380</v>
      </c>
      <c r="F35" s="19">
        <v>1</v>
      </c>
      <c r="G35" s="20" t="s">
        <v>50</v>
      </c>
      <c r="H35" s="19">
        <v>380</v>
      </c>
      <c r="I35" s="21">
        <v>50</v>
      </c>
      <c r="J35" s="21" t="s">
        <v>57</v>
      </c>
      <c r="K35" s="21">
        <v>7.6</v>
      </c>
      <c r="L35" s="22">
        <v>10</v>
      </c>
      <c r="M35" s="22" t="s">
        <v>58</v>
      </c>
      <c r="N35" s="23">
        <v>0.76</v>
      </c>
      <c r="O35" s="23">
        <v>0.91200000000000003</v>
      </c>
      <c r="P35" s="23">
        <v>1.1399999999999999</v>
      </c>
      <c r="Q35" s="23">
        <v>1.52</v>
      </c>
      <c r="R35" s="24"/>
      <c r="S35" s="25">
        <v>0</v>
      </c>
      <c r="T35" s="24">
        <v>1</v>
      </c>
      <c r="U35" s="24"/>
      <c r="V35" s="24"/>
    </row>
    <row r="36" spans="1:22" ht="20.100000000000001" hidden="1" customHeight="1" thickBot="1" x14ac:dyDescent="0.25">
      <c r="A36" s="29" t="s">
        <v>110</v>
      </c>
      <c r="B36" s="9">
        <v>2</v>
      </c>
      <c r="C36" s="9"/>
      <c r="D36" s="37" t="s">
        <v>111</v>
      </c>
      <c r="E36" s="18">
        <v>100</v>
      </c>
      <c r="F36" s="19">
        <v>2</v>
      </c>
      <c r="G36" s="20" t="s">
        <v>50</v>
      </c>
      <c r="H36" s="19">
        <v>50</v>
      </c>
      <c r="I36" s="21">
        <v>1</v>
      </c>
      <c r="J36" s="21" t="s">
        <v>54</v>
      </c>
      <c r="K36" s="21">
        <v>50</v>
      </c>
      <c r="L36" s="22">
        <v>5</v>
      </c>
      <c r="M36" s="22" t="s">
        <v>112</v>
      </c>
      <c r="N36" s="23">
        <v>10</v>
      </c>
      <c r="O36" s="23">
        <v>12</v>
      </c>
      <c r="P36" s="23">
        <v>15</v>
      </c>
      <c r="Q36" s="23">
        <v>20</v>
      </c>
      <c r="R36" s="24"/>
      <c r="S36" s="25">
        <v>0</v>
      </c>
      <c r="T36" s="24">
        <v>10</v>
      </c>
      <c r="U36" s="24"/>
      <c r="V36" s="24"/>
    </row>
    <row r="37" spans="1:22" ht="20.100000000000001" hidden="1" customHeight="1" thickBot="1" x14ac:dyDescent="0.25">
      <c r="A37" s="29" t="s">
        <v>113</v>
      </c>
      <c r="B37" s="9">
        <v>10</v>
      </c>
      <c r="C37" s="9"/>
      <c r="D37" s="37" t="s">
        <v>114</v>
      </c>
      <c r="E37" s="18">
        <v>415</v>
      </c>
      <c r="F37" s="19">
        <v>5</v>
      </c>
      <c r="G37" s="20" t="s">
        <v>50</v>
      </c>
      <c r="H37" s="19">
        <v>83</v>
      </c>
      <c r="I37" s="21">
        <v>1</v>
      </c>
      <c r="J37" s="21" t="s">
        <v>57</v>
      </c>
      <c r="K37" s="21">
        <v>83</v>
      </c>
      <c r="L37" s="22">
        <v>10</v>
      </c>
      <c r="M37" s="22" t="s">
        <v>58</v>
      </c>
      <c r="N37" s="23">
        <v>8.3000000000000007</v>
      </c>
      <c r="O37" s="23">
        <v>9.9600000000000009</v>
      </c>
      <c r="P37" s="23">
        <v>12.45</v>
      </c>
      <c r="Q37" s="23">
        <v>16.600000000000001</v>
      </c>
      <c r="R37" s="24"/>
      <c r="S37" s="25">
        <v>0</v>
      </c>
      <c r="T37" s="24">
        <v>5</v>
      </c>
      <c r="U37" s="24"/>
      <c r="V37" s="24" t="s">
        <v>115</v>
      </c>
    </row>
    <row r="38" spans="1:22" ht="20.100000000000001" hidden="1" customHeight="1" thickBot="1" x14ac:dyDescent="0.25">
      <c r="A38" s="29" t="s">
        <v>23</v>
      </c>
      <c r="B38" s="9">
        <v>50</v>
      </c>
      <c r="C38" s="9"/>
      <c r="D38" s="37" t="s">
        <v>116</v>
      </c>
      <c r="E38" s="18">
        <v>194</v>
      </c>
      <c r="F38" s="19">
        <v>1</v>
      </c>
      <c r="G38" s="20" t="s">
        <v>50</v>
      </c>
      <c r="H38" s="19">
        <v>194</v>
      </c>
      <c r="I38" s="21">
        <v>10</v>
      </c>
      <c r="J38" s="21" t="s">
        <v>57</v>
      </c>
      <c r="K38" s="21">
        <v>19.399999999999999</v>
      </c>
      <c r="L38" s="22">
        <v>10</v>
      </c>
      <c r="M38" s="22" t="s">
        <v>58</v>
      </c>
      <c r="N38" s="23">
        <v>1.94</v>
      </c>
      <c r="O38" s="23">
        <v>2.3279999999999998</v>
      </c>
      <c r="P38" s="23">
        <v>2.91</v>
      </c>
      <c r="Q38" s="23">
        <v>3.88</v>
      </c>
      <c r="R38" s="24"/>
      <c r="S38" s="25">
        <v>0</v>
      </c>
      <c r="T38" s="24">
        <v>1</v>
      </c>
      <c r="U38" s="24"/>
      <c r="V38" s="24"/>
    </row>
    <row r="39" spans="1:22" ht="20.100000000000001" hidden="1" customHeight="1" thickBot="1" x14ac:dyDescent="0.25">
      <c r="A39" s="29" t="s">
        <v>117</v>
      </c>
      <c r="B39" s="9">
        <v>500</v>
      </c>
      <c r="C39" s="9"/>
      <c r="D39" s="37" t="s">
        <v>118</v>
      </c>
      <c r="E39" s="18">
        <v>220</v>
      </c>
      <c r="F39" s="19">
        <v>5</v>
      </c>
      <c r="G39" s="20" t="s">
        <v>57</v>
      </c>
      <c r="H39" s="19">
        <v>44</v>
      </c>
      <c r="I39" s="21">
        <v>1</v>
      </c>
      <c r="J39" s="21" t="s">
        <v>57</v>
      </c>
      <c r="K39" s="21">
        <v>44</v>
      </c>
      <c r="L39" s="22">
        <v>10</v>
      </c>
      <c r="M39" s="22" t="s">
        <v>58</v>
      </c>
      <c r="N39" s="23">
        <v>4.4000000000000004</v>
      </c>
      <c r="O39" s="23">
        <v>5.28</v>
      </c>
      <c r="P39" s="23">
        <v>6.6</v>
      </c>
      <c r="Q39" s="23">
        <v>8.8000000000000007</v>
      </c>
      <c r="R39" s="24"/>
      <c r="S39" s="25">
        <v>0</v>
      </c>
      <c r="T39" s="24">
        <v>5</v>
      </c>
      <c r="U39" s="24"/>
      <c r="V39" s="24" t="s">
        <v>119</v>
      </c>
    </row>
    <row r="40" spans="1:22" ht="20.100000000000001" hidden="1" customHeight="1" thickBot="1" x14ac:dyDescent="0.25">
      <c r="A40" s="171" t="s">
        <v>24</v>
      </c>
      <c r="B40" s="9">
        <v>500</v>
      </c>
      <c r="C40" s="9"/>
      <c r="D40" s="37" t="s">
        <v>120</v>
      </c>
      <c r="E40" s="18">
        <v>50</v>
      </c>
      <c r="F40" s="19">
        <v>10</v>
      </c>
      <c r="G40" s="20" t="s">
        <v>57</v>
      </c>
      <c r="H40" s="19">
        <v>5</v>
      </c>
      <c r="I40" s="21">
        <v>1</v>
      </c>
      <c r="J40" s="21" t="s">
        <v>57</v>
      </c>
      <c r="K40" s="21">
        <v>5</v>
      </c>
      <c r="L40" s="22">
        <v>10</v>
      </c>
      <c r="M40" s="22" t="s">
        <v>58</v>
      </c>
      <c r="N40" s="23">
        <v>0.5</v>
      </c>
      <c r="O40" s="23">
        <v>0.6</v>
      </c>
      <c r="P40" s="23">
        <v>0.75</v>
      </c>
      <c r="Q40" s="23">
        <v>1</v>
      </c>
      <c r="R40" s="24"/>
      <c r="S40" s="25">
        <v>0</v>
      </c>
      <c r="T40" s="24">
        <v>10</v>
      </c>
      <c r="U40" s="24"/>
      <c r="V40" s="24">
        <v>10</v>
      </c>
    </row>
    <row r="41" spans="1:22" ht="20.100000000000001" hidden="1" customHeight="1" thickBot="1" x14ac:dyDescent="0.25">
      <c r="A41" s="172"/>
      <c r="B41" s="9">
        <v>500</v>
      </c>
      <c r="C41" s="9"/>
      <c r="D41" s="37" t="s">
        <v>121</v>
      </c>
      <c r="E41" s="18"/>
      <c r="F41" s="19">
        <v>2</v>
      </c>
      <c r="G41" s="20" t="s">
        <v>57</v>
      </c>
      <c r="H41" s="19">
        <v>0</v>
      </c>
      <c r="I41" s="21">
        <v>2</v>
      </c>
      <c r="J41" s="21" t="s">
        <v>57</v>
      </c>
      <c r="K41" s="21">
        <v>0</v>
      </c>
      <c r="L41" s="22">
        <v>10</v>
      </c>
      <c r="M41" s="22" t="s">
        <v>58</v>
      </c>
      <c r="N41" s="23">
        <v>0</v>
      </c>
      <c r="O41" s="23">
        <v>0</v>
      </c>
      <c r="P41" s="23">
        <v>0</v>
      </c>
      <c r="Q41" s="23">
        <v>0</v>
      </c>
      <c r="R41" s="24"/>
      <c r="S41" s="25">
        <v>0</v>
      </c>
      <c r="T41" s="24">
        <v>2</v>
      </c>
      <c r="U41" s="24"/>
      <c r="V41" s="24"/>
    </row>
    <row r="42" spans="1:22" ht="20.100000000000001" hidden="1" customHeight="1" thickBot="1" x14ac:dyDescent="0.25">
      <c r="A42" s="29" t="s">
        <v>122</v>
      </c>
      <c r="B42" s="9">
        <v>240</v>
      </c>
      <c r="C42" s="9"/>
      <c r="D42" s="37" t="s">
        <v>120</v>
      </c>
      <c r="E42" s="18">
        <v>141</v>
      </c>
      <c r="F42" s="19">
        <v>6</v>
      </c>
      <c r="G42" s="20" t="s">
        <v>54</v>
      </c>
      <c r="H42" s="19">
        <v>23.5</v>
      </c>
      <c r="I42" s="21">
        <v>1</v>
      </c>
      <c r="J42" s="21" t="s">
        <v>54</v>
      </c>
      <c r="K42" s="21">
        <v>23.5</v>
      </c>
      <c r="L42" s="22">
        <v>1</v>
      </c>
      <c r="M42" s="22" t="s">
        <v>54</v>
      </c>
      <c r="N42" s="23">
        <v>23.5</v>
      </c>
      <c r="O42" s="23">
        <v>28.2</v>
      </c>
      <c r="P42" s="23">
        <v>35.25</v>
      </c>
      <c r="Q42" s="23">
        <v>47</v>
      </c>
      <c r="R42" s="24"/>
      <c r="S42" s="25">
        <v>0</v>
      </c>
      <c r="T42" s="24">
        <v>6</v>
      </c>
      <c r="U42" s="24"/>
      <c r="V42" s="24"/>
    </row>
    <row r="43" spans="1:22" ht="20.100000000000001" hidden="1" customHeight="1" thickBot="1" x14ac:dyDescent="0.25">
      <c r="A43" s="29" t="s">
        <v>123</v>
      </c>
      <c r="B43" s="9">
        <v>10</v>
      </c>
      <c r="C43" s="9"/>
      <c r="D43" s="37" t="s">
        <v>124</v>
      </c>
      <c r="E43" s="18"/>
      <c r="F43" s="19">
        <v>1</v>
      </c>
      <c r="G43" s="20" t="s">
        <v>86</v>
      </c>
      <c r="H43" s="19">
        <v>0</v>
      </c>
      <c r="I43" s="26">
        <v>1000</v>
      </c>
      <c r="J43" s="21" t="s">
        <v>58</v>
      </c>
      <c r="K43" s="21">
        <v>0</v>
      </c>
      <c r="L43" s="22">
        <v>1</v>
      </c>
      <c r="M43" s="22" t="s">
        <v>58</v>
      </c>
      <c r="N43" s="23">
        <v>0</v>
      </c>
      <c r="O43" s="23">
        <v>0</v>
      </c>
      <c r="P43" s="23">
        <v>0</v>
      </c>
      <c r="Q43" s="23">
        <v>0</v>
      </c>
      <c r="R43" s="24"/>
      <c r="S43" s="25">
        <v>0</v>
      </c>
      <c r="T43" s="24">
        <v>1</v>
      </c>
      <c r="U43" s="24"/>
      <c r="V43" s="24"/>
    </row>
    <row r="44" spans="1:22" ht="20.100000000000001" hidden="1" customHeight="1" thickBot="1" x14ac:dyDescent="0.25">
      <c r="A44" s="29" t="s">
        <v>125</v>
      </c>
      <c r="B44" s="9">
        <v>250</v>
      </c>
      <c r="C44" s="9"/>
      <c r="D44" s="37" t="s">
        <v>126</v>
      </c>
      <c r="E44" s="18">
        <v>205</v>
      </c>
      <c r="F44" s="19">
        <v>1</v>
      </c>
      <c r="G44" s="20" t="s">
        <v>50</v>
      </c>
      <c r="H44" s="19">
        <v>205</v>
      </c>
      <c r="I44" s="21">
        <v>10</v>
      </c>
      <c r="J44" s="21" t="s">
        <v>57</v>
      </c>
      <c r="K44" s="21">
        <v>20.5</v>
      </c>
      <c r="L44" s="22">
        <v>10</v>
      </c>
      <c r="M44" s="22" t="s">
        <v>58</v>
      </c>
      <c r="N44" s="23">
        <v>2.0499999999999998</v>
      </c>
      <c r="O44" s="23">
        <v>2.46</v>
      </c>
      <c r="P44" s="23">
        <v>3.0750000000000002</v>
      </c>
      <c r="Q44" s="23">
        <v>4.0999999999999996</v>
      </c>
      <c r="R44" s="24"/>
      <c r="S44" s="25">
        <v>0</v>
      </c>
      <c r="T44" s="24">
        <v>1</v>
      </c>
      <c r="U44" s="24"/>
      <c r="V44" s="24"/>
    </row>
    <row r="45" spans="1:22" ht="20.100000000000001" hidden="1" customHeight="1" thickBot="1" x14ac:dyDescent="0.25">
      <c r="A45" s="29" t="s">
        <v>127</v>
      </c>
      <c r="B45" s="9" t="s">
        <v>61</v>
      </c>
      <c r="C45" s="9"/>
      <c r="D45" s="37" t="s">
        <v>128</v>
      </c>
      <c r="E45" s="18">
        <v>550</v>
      </c>
      <c r="F45" s="19">
        <v>10</v>
      </c>
      <c r="G45" s="20" t="s">
        <v>50</v>
      </c>
      <c r="H45" s="19">
        <v>55</v>
      </c>
      <c r="I45" s="21">
        <v>1</v>
      </c>
      <c r="J45" s="21" t="s">
        <v>50</v>
      </c>
      <c r="K45" s="21">
        <v>55</v>
      </c>
      <c r="L45" s="22">
        <v>1</v>
      </c>
      <c r="M45" s="22" t="s">
        <v>64</v>
      </c>
      <c r="N45" s="23">
        <v>55</v>
      </c>
      <c r="O45" s="23">
        <v>66</v>
      </c>
      <c r="P45" s="23">
        <v>82.5</v>
      </c>
      <c r="Q45" s="23">
        <v>110</v>
      </c>
      <c r="R45" s="24"/>
      <c r="S45" s="25">
        <v>0</v>
      </c>
      <c r="T45" s="24">
        <v>10</v>
      </c>
      <c r="U45" s="24"/>
      <c r="V45" s="24"/>
    </row>
    <row r="46" spans="1:22" ht="20.100000000000001" hidden="1" customHeight="1" thickBot="1" x14ac:dyDescent="0.25">
      <c r="A46" s="171" t="s">
        <v>20</v>
      </c>
      <c r="B46" s="9">
        <v>20</v>
      </c>
      <c r="C46" s="9"/>
      <c r="D46" s="37" t="s">
        <v>129</v>
      </c>
      <c r="E46" s="18">
        <v>294</v>
      </c>
      <c r="F46" s="19">
        <v>7</v>
      </c>
      <c r="G46" s="20" t="s">
        <v>50</v>
      </c>
      <c r="H46" s="19">
        <v>42</v>
      </c>
      <c r="I46" s="21">
        <v>2</v>
      </c>
      <c r="J46" s="21" t="s">
        <v>57</v>
      </c>
      <c r="K46" s="21">
        <v>21</v>
      </c>
      <c r="L46" s="22">
        <v>7</v>
      </c>
      <c r="M46" s="22" t="s">
        <v>58</v>
      </c>
      <c r="N46" s="23">
        <v>3</v>
      </c>
      <c r="O46" s="23">
        <v>3.6</v>
      </c>
      <c r="P46" s="23">
        <v>4.5</v>
      </c>
      <c r="Q46" s="23">
        <v>6</v>
      </c>
      <c r="R46" s="9"/>
      <c r="S46" s="25">
        <v>0</v>
      </c>
      <c r="T46" s="9">
        <v>7</v>
      </c>
      <c r="U46" s="9"/>
      <c r="V46" s="9">
        <v>65</v>
      </c>
    </row>
    <row r="47" spans="1:22" ht="20.100000000000001" hidden="1" customHeight="1" thickBot="1" x14ac:dyDescent="0.25">
      <c r="A47" s="172"/>
      <c r="B47" s="9">
        <v>20</v>
      </c>
      <c r="C47" s="9"/>
      <c r="D47" s="37" t="s">
        <v>130</v>
      </c>
      <c r="E47" s="18"/>
      <c r="F47" s="19">
        <v>1</v>
      </c>
      <c r="G47" s="20" t="s">
        <v>57</v>
      </c>
      <c r="H47" s="19">
        <v>0</v>
      </c>
      <c r="I47" s="21">
        <v>1</v>
      </c>
      <c r="J47" s="21" t="s">
        <v>57</v>
      </c>
      <c r="K47" s="21">
        <v>0</v>
      </c>
      <c r="L47" s="22">
        <v>10</v>
      </c>
      <c r="M47" s="22" t="s">
        <v>58</v>
      </c>
      <c r="N47" s="23">
        <v>0</v>
      </c>
      <c r="O47" s="23">
        <v>0</v>
      </c>
      <c r="P47" s="23">
        <v>0</v>
      </c>
      <c r="Q47" s="23">
        <v>0</v>
      </c>
      <c r="R47" s="24"/>
      <c r="S47" s="25">
        <v>0</v>
      </c>
      <c r="T47" s="24">
        <v>1</v>
      </c>
      <c r="U47" s="24"/>
      <c r="V47" s="24"/>
    </row>
    <row r="48" spans="1:22" ht="20.100000000000001" hidden="1" customHeight="1" thickBot="1" x14ac:dyDescent="0.25">
      <c r="A48" s="29" t="s">
        <v>131</v>
      </c>
      <c r="B48" s="9">
        <v>400</v>
      </c>
      <c r="C48" s="9"/>
      <c r="D48" s="37" t="s">
        <v>132</v>
      </c>
      <c r="E48" s="18">
        <v>130</v>
      </c>
      <c r="F48" s="19">
        <v>1</v>
      </c>
      <c r="G48" s="20" t="s">
        <v>50</v>
      </c>
      <c r="H48" s="19">
        <v>130</v>
      </c>
      <c r="I48" s="21">
        <v>10</v>
      </c>
      <c r="J48" s="21" t="s">
        <v>57</v>
      </c>
      <c r="K48" s="21">
        <v>13</v>
      </c>
      <c r="L48" s="22">
        <v>10</v>
      </c>
      <c r="M48" s="22" t="s">
        <v>58</v>
      </c>
      <c r="N48" s="23">
        <v>1.3</v>
      </c>
      <c r="O48" s="23">
        <v>1.56</v>
      </c>
      <c r="P48" s="23">
        <v>1.95</v>
      </c>
      <c r="Q48" s="23">
        <v>2.6</v>
      </c>
      <c r="R48" s="24"/>
      <c r="S48" s="25">
        <v>0</v>
      </c>
      <c r="T48" s="24">
        <v>1</v>
      </c>
      <c r="U48" s="24"/>
      <c r="V48" s="24"/>
    </row>
    <row r="49" spans="1:22" ht="20.100000000000001" hidden="1" customHeight="1" thickBot="1" x14ac:dyDescent="0.25">
      <c r="A49" s="29" t="s">
        <v>133</v>
      </c>
      <c r="B49" s="9">
        <v>5</v>
      </c>
      <c r="C49" s="9"/>
      <c r="D49" s="37" t="s">
        <v>134</v>
      </c>
      <c r="E49" s="18">
        <v>126</v>
      </c>
      <c r="F49" s="19">
        <v>3</v>
      </c>
      <c r="G49" s="20" t="s">
        <v>50</v>
      </c>
      <c r="H49" s="19">
        <v>42</v>
      </c>
      <c r="I49" s="21">
        <v>1</v>
      </c>
      <c r="J49" s="21" t="s">
        <v>51</v>
      </c>
      <c r="K49" s="21">
        <v>42</v>
      </c>
      <c r="L49" s="22">
        <v>1</v>
      </c>
      <c r="M49" s="22" t="s">
        <v>51</v>
      </c>
      <c r="N49" s="23">
        <v>42</v>
      </c>
      <c r="O49" s="23">
        <v>50.4</v>
      </c>
      <c r="P49" s="23">
        <v>63</v>
      </c>
      <c r="Q49" s="23">
        <v>84</v>
      </c>
      <c r="R49" s="9"/>
      <c r="S49" s="25">
        <v>0</v>
      </c>
      <c r="T49" s="9">
        <v>3</v>
      </c>
      <c r="U49" s="9"/>
      <c r="V49" s="9"/>
    </row>
    <row r="50" spans="1:22" ht="20.100000000000001" hidden="1" customHeight="1" thickBot="1" x14ac:dyDescent="0.25">
      <c r="A50" s="171" t="s">
        <v>10</v>
      </c>
      <c r="B50" s="9">
        <v>500</v>
      </c>
      <c r="C50" s="9"/>
      <c r="D50" s="37" t="s">
        <v>135</v>
      </c>
      <c r="E50" s="18">
        <v>220</v>
      </c>
      <c r="F50" s="19">
        <v>1</v>
      </c>
      <c r="G50" s="20" t="s">
        <v>50</v>
      </c>
      <c r="H50" s="19">
        <v>220</v>
      </c>
      <c r="I50" s="21">
        <v>20</v>
      </c>
      <c r="J50" s="21" t="s">
        <v>57</v>
      </c>
      <c r="K50" s="21">
        <v>11</v>
      </c>
      <c r="L50" s="22">
        <v>10</v>
      </c>
      <c r="M50" s="22" t="s">
        <v>58</v>
      </c>
      <c r="N50" s="23">
        <v>1.1000000000000001</v>
      </c>
      <c r="O50" s="23">
        <v>1.32</v>
      </c>
      <c r="P50" s="23">
        <v>1.65</v>
      </c>
      <c r="Q50" s="23">
        <v>2.2000000000000002</v>
      </c>
      <c r="R50" s="24"/>
      <c r="S50" s="25">
        <v>0</v>
      </c>
      <c r="T50" s="24">
        <v>1</v>
      </c>
      <c r="U50" s="24"/>
      <c r="V50" s="24"/>
    </row>
    <row r="51" spans="1:22" ht="20.100000000000001" hidden="1" customHeight="1" thickBot="1" x14ac:dyDescent="0.25">
      <c r="A51" s="172"/>
      <c r="B51" s="9">
        <v>325</v>
      </c>
      <c r="C51" s="9"/>
      <c r="D51" s="37" t="s">
        <v>136</v>
      </c>
      <c r="E51" s="18">
        <v>174</v>
      </c>
      <c r="F51" s="19">
        <v>1</v>
      </c>
      <c r="G51" s="20" t="s">
        <v>86</v>
      </c>
      <c r="H51" s="19">
        <v>174</v>
      </c>
      <c r="I51" s="26">
        <v>1000</v>
      </c>
      <c r="J51" s="21" t="s">
        <v>58</v>
      </c>
      <c r="K51" s="21">
        <v>0.17399999999999999</v>
      </c>
      <c r="L51" s="22">
        <v>1</v>
      </c>
      <c r="M51" s="22" t="s">
        <v>58</v>
      </c>
      <c r="N51" s="23">
        <v>0.17399999999999999</v>
      </c>
      <c r="O51" s="23">
        <v>0.20880000000000001</v>
      </c>
      <c r="P51" s="23">
        <v>0.26100000000000001</v>
      </c>
      <c r="Q51" s="23">
        <v>0.34799999999999998</v>
      </c>
      <c r="R51" s="24"/>
      <c r="S51" s="25">
        <v>0</v>
      </c>
      <c r="T51" s="24">
        <v>1</v>
      </c>
      <c r="U51" s="24"/>
      <c r="V51" s="24"/>
    </row>
    <row r="52" spans="1:22" ht="20.100000000000001" hidden="1" customHeight="1" thickBot="1" x14ac:dyDescent="0.25">
      <c r="A52" s="29" t="s">
        <v>137</v>
      </c>
      <c r="B52" s="9">
        <v>500</v>
      </c>
      <c r="C52" s="9"/>
      <c r="D52" s="37" t="s">
        <v>138</v>
      </c>
      <c r="E52" s="18">
        <v>173</v>
      </c>
      <c r="F52" s="19">
        <v>1</v>
      </c>
      <c r="G52" s="20" t="s">
        <v>139</v>
      </c>
      <c r="H52" s="19">
        <v>173</v>
      </c>
      <c r="I52" s="21">
        <v>500</v>
      </c>
      <c r="J52" s="21" t="s">
        <v>58</v>
      </c>
      <c r="K52" s="21">
        <v>0.34599999999999997</v>
      </c>
      <c r="L52" s="22">
        <v>1</v>
      </c>
      <c r="M52" s="22" t="s">
        <v>58</v>
      </c>
      <c r="N52" s="23">
        <v>0.34599999999999997</v>
      </c>
      <c r="O52" s="23">
        <v>0.41520000000000001</v>
      </c>
      <c r="P52" s="23">
        <v>0.51900000000000002</v>
      </c>
      <c r="Q52" s="23">
        <v>0.69199999999999995</v>
      </c>
      <c r="R52" s="9"/>
      <c r="S52" s="25">
        <v>0</v>
      </c>
      <c r="T52" s="9">
        <v>1</v>
      </c>
      <c r="U52" s="9"/>
      <c r="V52" s="9"/>
    </row>
    <row r="53" spans="1:22" ht="20.100000000000001" hidden="1" customHeight="1" thickBot="1" x14ac:dyDescent="0.25">
      <c r="A53" s="29" t="s">
        <v>2</v>
      </c>
      <c r="B53" s="9">
        <v>2.5</v>
      </c>
      <c r="C53" s="9"/>
      <c r="D53" s="37" t="s">
        <v>140</v>
      </c>
      <c r="E53" s="18">
        <v>0</v>
      </c>
      <c r="F53" s="19">
        <v>2</v>
      </c>
      <c r="G53" s="20" t="s">
        <v>57</v>
      </c>
      <c r="H53" s="19">
        <v>0</v>
      </c>
      <c r="I53" s="21">
        <v>10</v>
      </c>
      <c r="J53" s="21" t="s">
        <v>141</v>
      </c>
      <c r="K53" s="21">
        <v>0</v>
      </c>
      <c r="L53" s="22">
        <v>1</v>
      </c>
      <c r="M53" s="22" t="s">
        <v>58</v>
      </c>
      <c r="N53" s="23">
        <v>0</v>
      </c>
      <c r="O53" s="23">
        <v>0</v>
      </c>
      <c r="P53" s="23">
        <v>0</v>
      </c>
      <c r="Q53" s="23">
        <v>0</v>
      </c>
      <c r="R53" s="24"/>
      <c r="S53" s="25">
        <v>0</v>
      </c>
      <c r="T53" s="24">
        <v>1</v>
      </c>
      <c r="U53" s="24"/>
      <c r="V53" s="24"/>
    </row>
    <row r="54" spans="1:22" ht="20.100000000000001" hidden="1" customHeight="1" thickBot="1" x14ac:dyDescent="0.25">
      <c r="A54" s="29" t="s">
        <v>17</v>
      </c>
      <c r="B54" s="9">
        <v>7.5</v>
      </c>
      <c r="C54" s="9"/>
      <c r="D54" s="37" t="s">
        <v>142</v>
      </c>
      <c r="E54" s="18">
        <v>168</v>
      </c>
      <c r="F54" s="19">
        <v>3</v>
      </c>
      <c r="G54" s="20" t="s">
        <v>50</v>
      </c>
      <c r="H54" s="19">
        <v>56</v>
      </c>
      <c r="I54" s="21">
        <v>3</v>
      </c>
      <c r="J54" s="21" t="s">
        <v>57</v>
      </c>
      <c r="K54" s="21">
        <v>18.666666670000001</v>
      </c>
      <c r="L54" s="22">
        <v>20</v>
      </c>
      <c r="M54" s="22" t="s">
        <v>58</v>
      </c>
      <c r="N54" s="23">
        <v>0.93333333330000001</v>
      </c>
      <c r="O54" s="23">
        <v>1.1200000000000001</v>
      </c>
      <c r="P54" s="23">
        <v>1.4</v>
      </c>
      <c r="Q54" s="23">
        <v>1.8666666670000001</v>
      </c>
      <c r="R54" s="24"/>
      <c r="S54" s="25">
        <v>0</v>
      </c>
      <c r="T54" s="24">
        <v>3</v>
      </c>
      <c r="U54" s="24"/>
      <c r="V54" s="24">
        <v>28</v>
      </c>
    </row>
    <row r="55" spans="1:22" ht="20.100000000000001" hidden="1" customHeight="1" thickBot="1" x14ac:dyDescent="0.25">
      <c r="A55" s="29" t="s">
        <v>143</v>
      </c>
      <c r="B55" s="9">
        <v>80</v>
      </c>
      <c r="C55" s="9"/>
      <c r="D55" s="37" t="s">
        <v>144</v>
      </c>
      <c r="E55" s="18">
        <v>250</v>
      </c>
      <c r="F55" s="19">
        <v>20</v>
      </c>
      <c r="G55" s="20" t="s">
        <v>57</v>
      </c>
      <c r="H55" s="19">
        <v>12.5</v>
      </c>
      <c r="I55" s="21">
        <v>1</v>
      </c>
      <c r="J55" s="21" t="s">
        <v>57</v>
      </c>
      <c r="K55" s="21">
        <v>12.5</v>
      </c>
      <c r="L55" s="22">
        <v>10</v>
      </c>
      <c r="M55" s="22" t="s">
        <v>58</v>
      </c>
      <c r="N55" s="23">
        <v>1.25</v>
      </c>
      <c r="O55" s="23">
        <v>1.5</v>
      </c>
      <c r="P55" s="23">
        <v>1.875</v>
      </c>
      <c r="Q55" s="23">
        <v>2.5</v>
      </c>
      <c r="R55" s="24"/>
      <c r="S55" s="25">
        <v>0</v>
      </c>
      <c r="T55" s="24">
        <v>20</v>
      </c>
      <c r="U55" s="24"/>
      <c r="V55" s="24">
        <v>15</v>
      </c>
    </row>
    <row r="56" spans="1:22" ht="20.100000000000001" hidden="1" customHeight="1" thickBot="1" x14ac:dyDescent="0.25">
      <c r="A56" s="29" t="s">
        <v>19</v>
      </c>
      <c r="B56" s="9">
        <v>20</v>
      </c>
      <c r="C56" s="9"/>
      <c r="D56" s="37" t="s">
        <v>145</v>
      </c>
      <c r="E56" s="18">
        <v>80</v>
      </c>
      <c r="F56" s="19">
        <v>2</v>
      </c>
      <c r="G56" s="20" t="s">
        <v>50</v>
      </c>
      <c r="H56" s="19">
        <v>40</v>
      </c>
      <c r="I56" s="21">
        <v>3</v>
      </c>
      <c r="J56" s="21" t="s">
        <v>57</v>
      </c>
      <c r="K56" s="21">
        <v>13.33333333</v>
      </c>
      <c r="L56" s="22">
        <v>10</v>
      </c>
      <c r="M56" s="22" t="s">
        <v>58</v>
      </c>
      <c r="N56" s="23">
        <v>1.3333333329999999</v>
      </c>
      <c r="O56" s="23">
        <v>1.6</v>
      </c>
      <c r="P56" s="23">
        <v>2</v>
      </c>
      <c r="Q56" s="23">
        <v>2.6666666669999999</v>
      </c>
      <c r="R56" s="24"/>
      <c r="S56" s="25">
        <v>0</v>
      </c>
      <c r="T56" s="24">
        <v>2</v>
      </c>
      <c r="U56" s="24"/>
      <c r="V56" s="24"/>
    </row>
    <row r="57" spans="1:22" ht="20.100000000000001" hidden="1" customHeight="1" thickBot="1" x14ac:dyDescent="0.25">
      <c r="A57" s="29" t="s">
        <v>146</v>
      </c>
      <c r="B57" s="9">
        <v>300</v>
      </c>
      <c r="C57" s="9"/>
      <c r="D57" s="37" t="s">
        <v>147</v>
      </c>
      <c r="E57" s="18">
        <v>93</v>
      </c>
      <c r="F57" s="19">
        <v>1</v>
      </c>
      <c r="G57" s="20" t="s">
        <v>86</v>
      </c>
      <c r="H57" s="19">
        <v>93</v>
      </c>
      <c r="I57" s="26">
        <v>1000</v>
      </c>
      <c r="J57" s="21" t="s">
        <v>58</v>
      </c>
      <c r="K57" s="21">
        <v>9.2999999999999999E-2</v>
      </c>
      <c r="L57" s="22">
        <v>1</v>
      </c>
      <c r="M57" s="22" t="s">
        <v>58</v>
      </c>
      <c r="N57" s="23">
        <v>9.2999999999999999E-2</v>
      </c>
      <c r="O57" s="23">
        <v>0.1116</v>
      </c>
      <c r="P57" s="23">
        <v>0.13950000000000001</v>
      </c>
      <c r="Q57" s="23">
        <v>0.186</v>
      </c>
      <c r="R57" s="24"/>
      <c r="S57" s="25">
        <v>0</v>
      </c>
      <c r="T57" s="24">
        <v>1</v>
      </c>
      <c r="U57" s="24"/>
      <c r="V57" s="24"/>
    </row>
    <row r="58" spans="1:22" ht="20.100000000000001" hidden="1" customHeight="1" thickBot="1" x14ac:dyDescent="0.25">
      <c r="A58" s="29" t="s">
        <v>148</v>
      </c>
      <c r="B58" s="9">
        <v>5</v>
      </c>
      <c r="C58" s="9"/>
      <c r="D58" s="37" t="s">
        <v>149</v>
      </c>
      <c r="E58" s="18">
        <v>60</v>
      </c>
      <c r="F58" s="19">
        <v>6</v>
      </c>
      <c r="G58" s="20" t="s">
        <v>50</v>
      </c>
      <c r="H58" s="19">
        <v>10</v>
      </c>
      <c r="I58" s="21">
        <v>1</v>
      </c>
      <c r="J58" s="21" t="s">
        <v>51</v>
      </c>
      <c r="K58" s="21">
        <v>10</v>
      </c>
      <c r="L58" s="22">
        <v>1</v>
      </c>
      <c r="M58" s="22" t="s">
        <v>51</v>
      </c>
      <c r="N58" s="23">
        <v>10</v>
      </c>
      <c r="O58" s="23">
        <v>12</v>
      </c>
      <c r="P58" s="23">
        <v>15</v>
      </c>
      <c r="Q58" s="23">
        <v>20</v>
      </c>
      <c r="R58" s="24"/>
      <c r="S58" s="25">
        <v>0</v>
      </c>
      <c r="T58" s="24">
        <v>6</v>
      </c>
      <c r="U58" s="24"/>
      <c r="V58" s="24"/>
    </row>
    <row r="59" spans="1:22" ht="20.100000000000001" hidden="1" customHeight="1" thickBot="1" x14ac:dyDescent="0.25">
      <c r="A59" s="29" t="s">
        <v>150</v>
      </c>
      <c r="B59" s="9">
        <v>5</v>
      </c>
      <c r="C59" s="9"/>
      <c r="D59" s="37" t="s">
        <v>151</v>
      </c>
      <c r="E59" s="18">
        <v>70.5</v>
      </c>
      <c r="F59" s="19">
        <v>6</v>
      </c>
      <c r="G59" s="20" t="s">
        <v>50</v>
      </c>
      <c r="H59" s="19">
        <v>11.75</v>
      </c>
      <c r="I59" s="21">
        <v>1</v>
      </c>
      <c r="J59" s="21" t="s">
        <v>51</v>
      </c>
      <c r="K59" s="21">
        <v>11.75</v>
      </c>
      <c r="L59" s="22">
        <v>1</v>
      </c>
      <c r="M59" s="22" t="s">
        <v>51</v>
      </c>
      <c r="N59" s="23">
        <v>11.75</v>
      </c>
      <c r="O59" s="23">
        <v>14.1</v>
      </c>
      <c r="P59" s="23">
        <v>17.625</v>
      </c>
      <c r="Q59" s="23">
        <v>23.5</v>
      </c>
      <c r="R59" s="24"/>
      <c r="S59" s="25">
        <v>0</v>
      </c>
      <c r="T59" s="24">
        <v>6</v>
      </c>
      <c r="U59" s="24"/>
      <c r="V59" s="24"/>
    </row>
    <row r="60" spans="1:22" ht="20.100000000000001" hidden="1" customHeight="1" thickBot="1" x14ac:dyDescent="0.25">
      <c r="A60" s="29" t="s">
        <v>152</v>
      </c>
      <c r="B60" s="9">
        <v>50</v>
      </c>
      <c r="C60" s="9"/>
      <c r="D60" s="37" t="s">
        <v>153</v>
      </c>
      <c r="E60" s="18">
        <v>176</v>
      </c>
      <c r="F60" s="19">
        <v>2</v>
      </c>
      <c r="G60" s="20" t="s">
        <v>50</v>
      </c>
      <c r="H60" s="19">
        <v>88</v>
      </c>
      <c r="I60" s="21">
        <v>1</v>
      </c>
      <c r="J60" s="21" t="s">
        <v>51</v>
      </c>
      <c r="K60" s="21">
        <v>88</v>
      </c>
      <c r="L60" s="22">
        <v>1</v>
      </c>
      <c r="M60" s="22" t="s">
        <v>51</v>
      </c>
      <c r="N60" s="23">
        <v>88</v>
      </c>
      <c r="O60" s="23">
        <v>105.6</v>
      </c>
      <c r="P60" s="23">
        <v>132</v>
      </c>
      <c r="Q60" s="23">
        <v>176</v>
      </c>
      <c r="R60" s="24"/>
      <c r="S60" s="25">
        <v>0</v>
      </c>
      <c r="T60" s="24">
        <v>2</v>
      </c>
      <c r="U60" s="24"/>
      <c r="V60" s="24"/>
    </row>
    <row r="61" spans="1:22" ht="20.100000000000001" hidden="1" customHeight="1" thickBot="1" x14ac:dyDescent="0.25">
      <c r="A61" s="29" t="s">
        <v>154</v>
      </c>
      <c r="B61" s="9">
        <v>3</v>
      </c>
      <c r="C61" s="9"/>
      <c r="D61" s="37" t="s">
        <v>124</v>
      </c>
      <c r="E61" s="18">
        <v>252</v>
      </c>
      <c r="F61" s="19">
        <v>1</v>
      </c>
      <c r="G61" s="20" t="s">
        <v>50</v>
      </c>
      <c r="H61" s="19">
        <v>252</v>
      </c>
      <c r="I61" s="21">
        <v>100</v>
      </c>
      <c r="J61" s="21" t="s">
        <v>57</v>
      </c>
      <c r="K61" s="21">
        <v>2.52</v>
      </c>
      <c r="L61" s="22">
        <v>10</v>
      </c>
      <c r="M61" s="22" t="s">
        <v>58</v>
      </c>
      <c r="N61" s="23">
        <v>0.252</v>
      </c>
      <c r="O61" s="23">
        <v>0.3024</v>
      </c>
      <c r="P61" s="23">
        <v>0.378</v>
      </c>
      <c r="Q61" s="23">
        <v>0.504</v>
      </c>
      <c r="R61" s="9"/>
      <c r="S61" s="25">
        <v>0</v>
      </c>
      <c r="T61" s="9">
        <v>1</v>
      </c>
      <c r="U61" s="9"/>
      <c r="V61" s="9"/>
    </row>
    <row r="62" spans="1:22" ht="20.100000000000001" hidden="1" customHeight="1" thickBot="1" x14ac:dyDescent="0.25">
      <c r="A62" s="29" t="s">
        <v>14</v>
      </c>
      <c r="B62" s="9">
        <v>100</v>
      </c>
      <c r="C62" s="9"/>
      <c r="D62" s="37" t="s">
        <v>155</v>
      </c>
      <c r="E62" s="18">
        <v>25</v>
      </c>
      <c r="F62" s="19">
        <v>5</v>
      </c>
      <c r="G62" s="20" t="s">
        <v>57</v>
      </c>
      <c r="H62" s="19">
        <v>5</v>
      </c>
      <c r="I62" s="21">
        <v>1</v>
      </c>
      <c r="J62" s="21" t="s">
        <v>57</v>
      </c>
      <c r="K62" s="21">
        <v>5</v>
      </c>
      <c r="L62" s="22">
        <v>10</v>
      </c>
      <c r="M62" s="22" t="s">
        <v>58</v>
      </c>
      <c r="N62" s="23">
        <v>0.5</v>
      </c>
      <c r="O62" s="23">
        <v>0.6</v>
      </c>
      <c r="P62" s="23">
        <v>0.75</v>
      </c>
      <c r="Q62" s="23">
        <v>1</v>
      </c>
      <c r="R62" s="24"/>
      <c r="S62" s="25">
        <v>0</v>
      </c>
      <c r="T62" s="24">
        <v>5</v>
      </c>
      <c r="U62" s="24"/>
      <c r="V62" s="24"/>
    </row>
    <row r="63" spans="1:22" ht="20.100000000000001" hidden="1" customHeight="1" thickBot="1" x14ac:dyDescent="0.25">
      <c r="A63" s="29" t="s">
        <v>156</v>
      </c>
      <c r="B63" s="9"/>
      <c r="C63" s="9"/>
      <c r="D63" s="37" t="s">
        <v>157</v>
      </c>
      <c r="E63" s="18"/>
      <c r="F63" s="27">
        <v>1</v>
      </c>
      <c r="G63" s="27" t="s">
        <v>158</v>
      </c>
      <c r="H63" s="27">
        <v>0</v>
      </c>
      <c r="I63" s="21"/>
      <c r="J63" s="21"/>
      <c r="K63" s="21" t="e">
        <v>#DIV/0!</v>
      </c>
      <c r="L63" s="22"/>
      <c r="M63" s="22"/>
      <c r="N63" s="23" t="e">
        <v>#DIV/0!</v>
      </c>
      <c r="O63" s="23" t="e">
        <v>#DIV/0!</v>
      </c>
      <c r="P63" s="23" t="e">
        <v>#DIV/0!</v>
      </c>
      <c r="Q63" s="23" t="e">
        <v>#DIV/0!</v>
      </c>
      <c r="R63" s="27"/>
      <c r="S63" s="25" t="e">
        <v>#DIV/0!</v>
      </c>
      <c r="T63" s="27">
        <v>1</v>
      </c>
      <c r="U63" s="27"/>
      <c r="V63" s="27"/>
    </row>
    <row r="64" spans="1:22" ht="20.100000000000001" hidden="1" customHeight="1" thickBot="1" x14ac:dyDescent="0.25">
      <c r="A64" s="29" t="s">
        <v>159</v>
      </c>
      <c r="B64" s="9"/>
      <c r="C64" s="9"/>
      <c r="D64" s="37" t="s">
        <v>160</v>
      </c>
      <c r="E64" s="18"/>
      <c r="F64" s="27">
        <v>2</v>
      </c>
      <c r="G64" s="27" t="s">
        <v>161</v>
      </c>
      <c r="H64" s="27">
        <v>0</v>
      </c>
      <c r="I64" s="21"/>
      <c r="J64" s="21"/>
      <c r="K64" s="21" t="e">
        <v>#DIV/0!</v>
      </c>
      <c r="L64" s="22"/>
      <c r="M64" s="22"/>
      <c r="N64" s="23" t="e">
        <v>#DIV/0!</v>
      </c>
      <c r="O64" s="23" t="e">
        <v>#DIV/0!</v>
      </c>
      <c r="P64" s="23" t="e">
        <v>#DIV/0!</v>
      </c>
      <c r="Q64" s="23" t="e">
        <v>#DIV/0!</v>
      </c>
      <c r="R64" s="27"/>
      <c r="S64" s="25" t="e">
        <v>#DIV/0!</v>
      </c>
      <c r="T64" s="27">
        <v>2</v>
      </c>
      <c r="U64" s="27"/>
      <c r="V64" s="27"/>
    </row>
    <row r="65" spans="1:22" ht="20.100000000000001" hidden="1" customHeight="1" thickBot="1" x14ac:dyDescent="0.25">
      <c r="A65" s="29" t="s">
        <v>16</v>
      </c>
      <c r="B65" s="9">
        <v>3</v>
      </c>
      <c r="C65" s="9"/>
      <c r="D65" s="37" t="s">
        <v>16</v>
      </c>
      <c r="E65" s="18">
        <v>460</v>
      </c>
      <c r="F65" s="19">
        <v>1</v>
      </c>
      <c r="G65" s="20" t="s">
        <v>50</v>
      </c>
      <c r="H65" s="19">
        <v>460</v>
      </c>
      <c r="I65" s="21">
        <v>20</v>
      </c>
      <c r="J65" s="21" t="s">
        <v>162</v>
      </c>
      <c r="K65" s="21">
        <v>23</v>
      </c>
      <c r="L65" s="22">
        <v>1</v>
      </c>
      <c r="M65" s="22" t="s">
        <v>162</v>
      </c>
      <c r="N65" s="23">
        <v>23</v>
      </c>
      <c r="O65" s="23">
        <v>27.6</v>
      </c>
      <c r="P65" s="23">
        <v>34.5</v>
      </c>
      <c r="Q65" s="23">
        <v>46</v>
      </c>
      <c r="R65" s="24"/>
      <c r="S65" s="25">
        <v>0</v>
      </c>
      <c r="T65" s="24">
        <v>1</v>
      </c>
      <c r="U65" s="24"/>
      <c r="V65" s="24">
        <v>35</v>
      </c>
    </row>
    <row r="66" spans="1:22" ht="20.100000000000001" hidden="1" customHeight="1" thickBot="1" x14ac:dyDescent="0.25">
      <c r="A66" s="29" t="s">
        <v>163</v>
      </c>
      <c r="B66" s="9">
        <v>10</v>
      </c>
      <c r="C66" s="9"/>
      <c r="D66" s="37" t="s">
        <v>164</v>
      </c>
      <c r="E66" s="18">
        <v>175</v>
      </c>
      <c r="F66" s="19">
        <v>1</v>
      </c>
      <c r="G66" s="20" t="s">
        <v>50</v>
      </c>
      <c r="H66" s="19">
        <v>175</v>
      </c>
      <c r="I66" s="21">
        <v>10</v>
      </c>
      <c r="J66" s="21" t="s">
        <v>81</v>
      </c>
      <c r="K66" s="21">
        <v>17.5</v>
      </c>
      <c r="L66" s="22">
        <v>1</v>
      </c>
      <c r="M66" s="22" t="s">
        <v>81</v>
      </c>
      <c r="N66" s="23">
        <v>17.5</v>
      </c>
      <c r="O66" s="23">
        <v>21</v>
      </c>
      <c r="P66" s="23">
        <v>26.25</v>
      </c>
      <c r="Q66" s="23">
        <v>35</v>
      </c>
      <c r="R66" s="24"/>
      <c r="S66" s="25">
        <v>0</v>
      </c>
      <c r="T66" s="24">
        <v>1</v>
      </c>
      <c r="U66" s="24"/>
      <c r="V66" s="24"/>
    </row>
    <row r="67" spans="1:22" ht="20.100000000000001" hidden="1" customHeight="1" thickBot="1" x14ac:dyDescent="0.25">
      <c r="A67" s="29" t="s">
        <v>165</v>
      </c>
      <c r="B67" s="9">
        <v>50</v>
      </c>
      <c r="C67" s="9"/>
      <c r="D67" s="37" t="s">
        <v>85</v>
      </c>
      <c r="E67" s="18">
        <v>25</v>
      </c>
      <c r="F67" s="19">
        <v>10</v>
      </c>
      <c r="G67" s="20" t="s">
        <v>57</v>
      </c>
      <c r="H67" s="19">
        <v>2.5</v>
      </c>
      <c r="I67" s="21">
        <v>1</v>
      </c>
      <c r="J67" s="21" t="s">
        <v>57</v>
      </c>
      <c r="K67" s="21">
        <v>2.5</v>
      </c>
      <c r="L67" s="22">
        <v>10</v>
      </c>
      <c r="M67" s="22" t="s">
        <v>58</v>
      </c>
      <c r="N67" s="23">
        <v>0.25</v>
      </c>
      <c r="O67" s="23">
        <v>0.3</v>
      </c>
      <c r="P67" s="23">
        <v>0.375</v>
      </c>
      <c r="Q67" s="23">
        <v>0.5</v>
      </c>
      <c r="R67" s="24"/>
      <c r="S67" s="25">
        <v>0</v>
      </c>
      <c r="T67" s="24">
        <v>10</v>
      </c>
      <c r="U67" s="24"/>
      <c r="V67" s="24">
        <v>10</v>
      </c>
    </row>
    <row r="68" spans="1:22" ht="20.100000000000001" hidden="1" customHeight="1" thickBot="1" x14ac:dyDescent="0.25">
      <c r="A68" s="29" t="s">
        <v>166</v>
      </c>
      <c r="B68" s="9" t="s">
        <v>61</v>
      </c>
      <c r="C68" s="9"/>
      <c r="D68" s="37" t="s">
        <v>167</v>
      </c>
      <c r="E68" s="18">
        <v>75</v>
      </c>
      <c r="F68" s="19">
        <v>10</v>
      </c>
      <c r="G68" s="20" t="s">
        <v>50</v>
      </c>
      <c r="H68" s="19">
        <v>7.5</v>
      </c>
      <c r="I68" s="21">
        <v>1</v>
      </c>
      <c r="J68" s="21" t="s">
        <v>64</v>
      </c>
      <c r="K68" s="21">
        <v>7.5</v>
      </c>
      <c r="L68" s="22">
        <v>1</v>
      </c>
      <c r="M68" s="22" t="s">
        <v>64</v>
      </c>
      <c r="N68" s="23">
        <v>7.5</v>
      </c>
      <c r="O68" s="23">
        <v>9</v>
      </c>
      <c r="P68" s="23">
        <v>11.25</v>
      </c>
      <c r="Q68" s="23">
        <v>15</v>
      </c>
      <c r="R68" s="24"/>
      <c r="S68" s="25">
        <v>0</v>
      </c>
      <c r="T68" s="24">
        <v>10</v>
      </c>
      <c r="U68" s="24"/>
      <c r="V68" s="24"/>
    </row>
    <row r="69" spans="1:22" ht="20.100000000000001" hidden="1" customHeight="1" thickBot="1" x14ac:dyDescent="0.25">
      <c r="A69" s="29" t="s">
        <v>168</v>
      </c>
      <c r="B69" s="9">
        <v>25</v>
      </c>
      <c r="C69" s="9"/>
      <c r="D69" s="37" t="s">
        <v>169</v>
      </c>
      <c r="E69" s="18">
        <v>30</v>
      </c>
      <c r="F69" s="19">
        <v>10</v>
      </c>
      <c r="G69" s="20" t="s">
        <v>57</v>
      </c>
      <c r="H69" s="19">
        <v>3</v>
      </c>
      <c r="I69" s="21">
        <v>1</v>
      </c>
      <c r="J69" s="21" t="s">
        <v>57</v>
      </c>
      <c r="K69" s="21">
        <v>3</v>
      </c>
      <c r="L69" s="22">
        <v>10</v>
      </c>
      <c r="M69" s="22" t="s">
        <v>58</v>
      </c>
      <c r="N69" s="23">
        <v>0.3</v>
      </c>
      <c r="O69" s="23">
        <v>0.36</v>
      </c>
      <c r="P69" s="23">
        <v>0.45</v>
      </c>
      <c r="Q69" s="23">
        <v>0.6</v>
      </c>
      <c r="R69" s="24"/>
      <c r="S69" s="25">
        <v>0</v>
      </c>
      <c r="T69" s="24">
        <v>10</v>
      </c>
      <c r="U69" s="24"/>
      <c r="V69" s="24"/>
    </row>
    <row r="70" spans="1:22" ht="20.100000000000001" hidden="1" customHeight="1" thickBot="1" x14ac:dyDescent="0.25">
      <c r="A70" s="29" t="s">
        <v>170</v>
      </c>
      <c r="B70" s="9">
        <v>50</v>
      </c>
      <c r="C70" s="9"/>
      <c r="D70" s="37" t="s">
        <v>30</v>
      </c>
      <c r="E70" s="18">
        <v>64</v>
      </c>
      <c r="F70" s="19">
        <v>2</v>
      </c>
      <c r="G70" s="20" t="s">
        <v>50</v>
      </c>
      <c r="H70" s="19">
        <v>32</v>
      </c>
      <c r="I70" s="21">
        <v>1</v>
      </c>
      <c r="J70" s="21" t="s">
        <v>81</v>
      </c>
      <c r="K70" s="21">
        <v>32</v>
      </c>
      <c r="L70" s="22">
        <v>1</v>
      </c>
      <c r="M70" s="22" t="s">
        <v>81</v>
      </c>
      <c r="N70" s="23">
        <v>32</v>
      </c>
      <c r="O70" s="23">
        <v>38.4</v>
      </c>
      <c r="P70" s="23">
        <v>48</v>
      </c>
      <c r="Q70" s="23">
        <v>64</v>
      </c>
      <c r="R70" s="24"/>
      <c r="S70" s="25">
        <v>0</v>
      </c>
      <c r="T70" s="24">
        <v>2</v>
      </c>
      <c r="U70" s="24"/>
      <c r="V70" s="24"/>
    </row>
    <row r="71" spans="1:22" ht="20.100000000000001" hidden="1" customHeight="1" thickBot="1" x14ac:dyDescent="0.25">
      <c r="A71" s="29" t="s">
        <v>171</v>
      </c>
      <c r="B71" s="9">
        <v>25</v>
      </c>
      <c r="C71" s="9"/>
      <c r="D71" s="37" t="s">
        <v>172</v>
      </c>
      <c r="E71" s="18">
        <v>25</v>
      </c>
      <c r="F71" s="19">
        <v>10</v>
      </c>
      <c r="G71" s="20" t="s">
        <v>57</v>
      </c>
      <c r="H71" s="19">
        <v>2.5</v>
      </c>
      <c r="I71" s="21">
        <v>1</v>
      </c>
      <c r="J71" s="21" t="s">
        <v>57</v>
      </c>
      <c r="K71" s="21">
        <v>2.5</v>
      </c>
      <c r="L71" s="22">
        <v>10</v>
      </c>
      <c r="M71" s="22" t="s">
        <v>58</v>
      </c>
      <c r="N71" s="23">
        <v>0.25</v>
      </c>
      <c r="O71" s="23">
        <v>0.3</v>
      </c>
      <c r="P71" s="23">
        <v>0.375</v>
      </c>
      <c r="Q71" s="23">
        <v>0.5</v>
      </c>
      <c r="R71" s="24"/>
      <c r="S71" s="25">
        <v>0</v>
      </c>
      <c r="T71" s="24">
        <v>10</v>
      </c>
      <c r="U71" s="24"/>
      <c r="V71" s="24"/>
    </row>
    <row r="72" spans="1:22" ht="20.100000000000001" hidden="1" customHeight="1" thickBot="1" x14ac:dyDescent="0.25">
      <c r="A72" s="29" t="s">
        <v>173</v>
      </c>
      <c r="B72" s="9">
        <v>400</v>
      </c>
      <c r="C72" s="9"/>
      <c r="D72" s="37" t="s">
        <v>174</v>
      </c>
      <c r="E72" s="18">
        <v>105</v>
      </c>
      <c r="F72" s="19">
        <v>1</v>
      </c>
      <c r="G72" s="20" t="s">
        <v>50</v>
      </c>
      <c r="H72" s="19">
        <v>105</v>
      </c>
      <c r="I72" s="21">
        <v>5</v>
      </c>
      <c r="J72" s="21" t="s">
        <v>57</v>
      </c>
      <c r="K72" s="21">
        <v>21</v>
      </c>
      <c r="L72" s="22">
        <v>5</v>
      </c>
      <c r="M72" s="22" t="s">
        <v>58</v>
      </c>
      <c r="N72" s="23">
        <v>4.2</v>
      </c>
      <c r="O72" s="23">
        <v>5.04</v>
      </c>
      <c r="P72" s="23">
        <v>6.3</v>
      </c>
      <c r="Q72" s="23">
        <v>8.4</v>
      </c>
      <c r="R72" s="24"/>
      <c r="S72" s="25">
        <v>0</v>
      </c>
      <c r="T72" s="24">
        <v>1</v>
      </c>
      <c r="U72" s="24"/>
      <c r="V72" s="24"/>
    </row>
    <row r="73" spans="1:22" ht="20.100000000000001" hidden="1" customHeight="1" thickBot="1" x14ac:dyDescent="0.25">
      <c r="A73" s="29" t="s">
        <v>175</v>
      </c>
      <c r="B73" s="9">
        <v>1</v>
      </c>
      <c r="C73" s="9"/>
      <c r="D73" s="37" t="s">
        <v>176</v>
      </c>
      <c r="E73" s="18">
        <v>107.5</v>
      </c>
      <c r="F73" s="19">
        <v>5</v>
      </c>
      <c r="G73" s="20" t="s">
        <v>57</v>
      </c>
      <c r="H73" s="19">
        <v>21.5</v>
      </c>
      <c r="I73" s="21">
        <v>1</v>
      </c>
      <c r="J73" s="21" t="s">
        <v>57</v>
      </c>
      <c r="K73" s="21">
        <v>21.5</v>
      </c>
      <c r="L73" s="22">
        <v>10</v>
      </c>
      <c r="M73" s="22" t="s">
        <v>58</v>
      </c>
      <c r="N73" s="23">
        <v>2.15</v>
      </c>
      <c r="O73" s="23">
        <v>2.58</v>
      </c>
      <c r="P73" s="23">
        <v>3.2250000000000001</v>
      </c>
      <c r="Q73" s="23">
        <v>4.3</v>
      </c>
      <c r="R73" s="24"/>
      <c r="S73" s="25">
        <v>0</v>
      </c>
      <c r="T73" s="24">
        <v>5</v>
      </c>
      <c r="U73" s="24"/>
      <c r="V73" s="24"/>
    </row>
    <row r="74" spans="1:22" ht="20.100000000000001" hidden="1" customHeight="1" thickBot="1" x14ac:dyDescent="0.25">
      <c r="A74" s="29" t="s">
        <v>177</v>
      </c>
      <c r="B74" s="9">
        <v>50</v>
      </c>
      <c r="C74" s="9"/>
      <c r="D74" s="37" t="s">
        <v>178</v>
      </c>
      <c r="E74" s="18"/>
      <c r="F74" s="19">
        <v>1</v>
      </c>
      <c r="G74" s="20" t="s">
        <v>57</v>
      </c>
      <c r="H74" s="19">
        <v>0</v>
      </c>
      <c r="I74" s="21">
        <v>1</v>
      </c>
      <c r="J74" s="21" t="s">
        <v>57</v>
      </c>
      <c r="K74" s="21">
        <v>0</v>
      </c>
      <c r="L74" s="22">
        <v>10</v>
      </c>
      <c r="M74" s="22" t="s">
        <v>58</v>
      </c>
      <c r="N74" s="23">
        <v>0</v>
      </c>
      <c r="O74" s="23">
        <v>0</v>
      </c>
      <c r="P74" s="23">
        <v>0</v>
      </c>
      <c r="Q74" s="23">
        <v>0</v>
      </c>
      <c r="R74" s="24"/>
      <c r="S74" s="25">
        <v>0</v>
      </c>
      <c r="T74" s="24">
        <v>1</v>
      </c>
      <c r="U74" s="24"/>
      <c r="V74" s="24"/>
    </row>
    <row r="75" spans="1:22" ht="20.100000000000001" hidden="1" customHeight="1" thickBot="1" x14ac:dyDescent="0.25">
      <c r="A75" s="29" t="s">
        <v>179</v>
      </c>
      <c r="B75" s="9">
        <v>25</v>
      </c>
      <c r="C75" s="9"/>
      <c r="D75" s="37" t="s">
        <v>180</v>
      </c>
      <c r="E75" s="18"/>
      <c r="F75" s="19">
        <v>2</v>
      </c>
      <c r="G75" s="20" t="s">
        <v>57</v>
      </c>
      <c r="H75" s="19">
        <v>0</v>
      </c>
      <c r="I75" s="21">
        <v>2</v>
      </c>
      <c r="J75" s="21" t="s">
        <v>57</v>
      </c>
      <c r="K75" s="21">
        <v>0</v>
      </c>
      <c r="L75" s="22">
        <v>10</v>
      </c>
      <c r="M75" s="22" t="s">
        <v>58</v>
      </c>
      <c r="N75" s="23">
        <v>0</v>
      </c>
      <c r="O75" s="23">
        <v>0</v>
      </c>
      <c r="P75" s="23">
        <v>0</v>
      </c>
      <c r="Q75" s="23">
        <v>0</v>
      </c>
      <c r="R75" s="24"/>
      <c r="S75" s="25">
        <v>0</v>
      </c>
      <c r="T75" s="24">
        <v>2</v>
      </c>
      <c r="U75" s="24"/>
      <c r="V75" s="24"/>
    </row>
    <row r="76" spans="1:22" ht="20.100000000000001" hidden="1" customHeight="1" thickBot="1" x14ac:dyDescent="0.25">
      <c r="A76" s="29" t="s">
        <v>181</v>
      </c>
      <c r="B76" s="9">
        <v>800</v>
      </c>
      <c r="C76" s="9"/>
      <c r="D76" s="37" t="s">
        <v>182</v>
      </c>
      <c r="E76" s="18"/>
      <c r="F76" s="19">
        <v>2</v>
      </c>
      <c r="G76" s="20" t="s">
        <v>57</v>
      </c>
      <c r="H76" s="19">
        <v>0</v>
      </c>
      <c r="I76" s="21">
        <v>2</v>
      </c>
      <c r="J76" s="21" t="s">
        <v>57</v>
      </c>
      <c r="K76" s="21">
        <v>0</v>
      </c>
      <c r="L76" s="22">
        <v>10</v>
      </c>
      <c r="M76" s="22" t="s">
        <v>58</v>
      </c>
      <c r="N76" s="23">
        <v>0</v>
      </c>
      <c r="O76" s="23">
        <v>0</v>
      </c>
      <c r="P76" s="23">
        <v>0</v>
      </c>
      <c r="Q76" s="23">
        <v>0</v>
      </c>
      <c r="R76" s="24"/>
      <c r="S76" s="25">
        <v>0</v>
      </c>
      <c r="T76" s="24">
        <v>2</v>
      </c>
      <c r="U76" s="24"/>
      <c r="V76" s="24"/>
    </row>
    <row r="77" spans="1:22" ht="20.100000000000001" hidden="1" customHeight="1" thickBot="1" x14ac:dyDescent="0.25">
      <c r="A77" s="29" t="s">
        <v>183</v>
      </c>
      <c r="B77" s="9">
        <v>2</v>
      </c>
      <c r="C77" s="9"/>
      <c r="D77" s="37" t="s">
        <v>184</v>
      </c>
      <c r="E77" s="18"/>
      <c r="F77" s="19">
        <v>1</v>
      </c>
      <c r="G77" s="20" t="s">
        <v>50</v>
      </c>
      <c r="H77" s="19">
        <v>0</v>
      </c>
      <c r="I77" s="21">
        <v>3</v>
      </c>
      <c r="J77" s="21" t="s">
        <v>185</v>
      </c>
      <c r="K77" s="21">
        <v>0</v>
      </c>
      <c r="L77" s="22">
        <v>7</v>
      </c>
      <c r="M77" s="22" t="s">
        <v>158</v>
      </c>
      <c r="N77" s="23">
        <v>0</v>
      </c>
      <c r="O77" s="23">
        <v>0</v>
      </c>
      <c r="P77" s="23">
        <v>0</v>
      </c>
      <c r="Q77" s="23">
        <v>0</v>
      </c>
      <c r="R77" s="24"/>
      <c r="S77" s="25">
        <v>0</v>
      </c>
      <c r="T77" s="24">
        <v>1</v>
      </c>
      <c r="U77" s="24"/>
      <c r="V77" s="24"/>
    </row>
    <row r="78" spans="1:22" ht="20.100000000000001" hidden="1" customHeight="1" thickBot="1" x14ac:dyDescent="0.25">
      <c r="A78" s="29" t="s">
        <v>186</v>
      </c>
      <c r="B78" s="9">
        <v>5</v>
      </c>
      <c r="C78" s="9"/>
      <c r="D78" s="37" t="s">
        <v>11</v>
      </c>
      <c r="E78" s="18"/>
      <c r="F78" s="19">
        <v>10</v>
      </c>
      <c r="G78" s="20" t="s">
        <v>58</v>
      </c>
      <c r="H78" s="19">
        <v>0</v>
      </c>
      <c r="I78" s="21">
        <v>10</v>
      </c>
      <c r="J78" s="21" t="s">
        <v>58</v>
      </c>
      <c r="K78" s="21">
        <v>0</v>
      </c>
      <c r="L78" s="22">
        <v>10</v>
      </c>
      <c r="M78" s="22" t="s">
        <v>58</v>
      </c>
      <c r="N78" s="23">
        <v>0</v>
      </c>
      <c r="O78" s="23">
        <v>0</v>
      </c>
      <c r="P78" s="23">
        <v>0</v>
      </c>
      <c r="Q78" s="23">
        <v>0</v>
      </c>
      <c r="R78" s="24"/>
      <c r="S78" s="25">
        <v>0</v>
      </c>
      <c r="T78" s="24">
        <v>10</v>
      </c>
      <c r="U78" s="24"/>
      <c r="V78" s="24"/>
    </row>
    <row r="79" spans="1:22" ht="20.100000000000001" hidden="1" customHeight="1" thickBot="1" x14ac:dyDescent="0.25">
      <c r="A79" s="29" t="s">
        <v>187</v>
      </c>
      <c r="B79" s="9">
        <v>15</v>
      </c>
      <c r="C79" s="9"/>
      <c r="D79" s="37" t="s">
        <v>187</v>
      </c>
      <c r="E79" s="18"/>
      <c r="F79" s="19">
        <v>5</v>
      </c>
      <c r="G79" s="20" t="s">
        <v>57</v>
      </c>
      <c r="H79" s="19">
        <v>0</v>
      </c>
      <c r="I79" s="21">
        <v>5</v>
      </c>
      <c r="J79" s="21" t="s">
        <v>57</v>
      </c>
      <c r="K79" s="21">
        <v>0</v>
      </c>
      <c r="L79" s="22">
        <v>10</v>
      </c>
      <c r="M79" s="22" t="s">
        <v>58</v>
      </c>
      <c r="N79" s="23">
        <v>0</v>
      </c>
      <c r="O79" s="23">
        <v>0</v>
      </c>
      <c r="P79" s="23">
        <v>0</v>
      </c>
      <c r="Q79" s="23">
        <v>0</v>
      </c>
      <c r="R79" s="24"/>
      <c r="S79" s="25">
        <v>0</v>
      </c>
      <c r="T79" s="24">
        <v>5</v>
      </c>
      <c r="U79" s="24"/>
      <c r="V79" s="24">
        <v>20</v>
      </c>
    </row>
    <row r="80" spans="1:22" ht="20.100000000000001" hidden="1" customHeight="1" thickBot="1" x14ac:dyDescent="0.25">
      <c r="A80" s="29" t="s">
        <v>188</v>
      </c>
      <c r="B80" s="9">
        <v>500</v>
      </c>
      <c r="C80" s="9"/>
      <c r="D80" s="37" t="s">
        <v>189</v>
      </c>
      <c r="E80" s="18"/>
      <c r="F80" s="19">
        <v>1</v>
      </c>
      <c r="G80" s="20" t="s">
        <v>50</v>
      </c>
      <c r="H80" s="19">
        <v>0</v>
      </c>
      <c r="I80" s="21">
        <v>2</v>
      </c>
      <c r="J80" s="21" t="s">
        <v>57</v>
      </c>
      <c r="K80" s="21">
        <v>0</v>
      </c>
      <c r="L80" s="22">
        <v>10</v>
      </c>
      <c r="M80" s="22" t="s">
        <v>58</v>
      </c>
      <c r="N80" s="23">
        <v>0</v>
      </c>
      <c r="O80" s="23">
        <v>0</v>
      </c>
      <c r="P80" s="23">
        <v>0</v>
      </c>
      <c r="Q80" s="23">
        <v>0</v>
      </c>
      <c r="R80" s="24"/>
      <c r="S80" s="25">
        <v>0</v>
      </c>
      <c r="T80" s="24">
        <v>30</v>
      </c>
      <c r="U80" s="24"/>
      <c r="V80" s="24"/>
    </row>
    <row r="81" spans="1:22" ht="20.100000000000001" hidden="1" customHeight="1" thickBot="1" x14ac:dyDescent="0.25">
      <c r="A81" s="29" t="s">
        <v>190</v>
      </c>
      <c r="B81" s="9">
        <v>250</v>
      </c>
      <c r="C81" s="9"/>
      <c r="D81" s="37" t="s">
        <v>191</v>
      </c>
      <c r="E81" s="18"/>
      <c r="F81" s="19">
        <v>1</v>
      </c>
      <c r="G81" s="20" t="s">
        <v>50</v>
      </c>
      <c r="H81" s="19">
        <v>0</v>
      </c>
      <c r="I81" s="21">
        <v>1</v>
      </c>
      <c r="J81" s="21" t="s">
        <v>57</v>
      </c>
      <c r="K81" s="21">
        <v>0</v>
      </c>
      <c r="L81" s="22">
        <v>5</v>
      </c>
      <c r="M81" s="22" t="s">
        <v>192</v>
      </c>
      <c r="N81" s="23">
        <v>0</v>
      </c>
      <c r="O81" s="23">
        <v>0</v>
      </c>
      <c r="P81" s="23">
        <v>0</v>
      </c>
      <c r="Q81" s="23">
        <v>0</v>
      </c>
      <c r="R81" s="24"/>
      <c r="S81" s="25">
        <v>0</v>
      </c>
      <c r="T81" s="24">
        <v>10</v>
      </c>
      <c r="U81" s="24"/>
      <c r="V81" s="24"/>
    </row>
    <row r="82" spans="1:22" ht="20.100000000000001" hidden="1" customHeight="1" thickBot="1" x14ac:dyDescent="0.25">
      <c r="A82" s="29" t="s">
        <v>193</v>
      </c>
      <c r="B82" s="9">
        <v>3.3</v>
      </c>
      <c r="C82" s="9"/>
      <c r="D82" s="37" t="s">
        <v>194</v>
      </c>
      <c r="E82" s="18"/>
      <c r="F82" s="19">
        <v>20</v>
      </c>
      <c r="G82" s="20" t="s">
        <v>162</v>
      </c>
      <c r="H82" s="19">
        <v>0</v>
      </c>
      <c r="I82" s="21">
        <v>20</v>
      </c>
      <c r="J82" s="21" t="s">
        <v>162</v>
      </c>
      <c r="K82" s="21">
        <v>0</v>
      </c>
      <c r="L82" s="22">
        <v>20</v>
      </c>
      <c r="M82" s="22" t="s">
        <v>162</v>
      </c>
      <c r="N82" s="23">
        <v>0</v>
      </c>
      <c r="O82" s="23">
        <v>0</v>
      </c>
      <c r="P82" s="23">
        <v>0</v>
      </c>
      <c r="Q82" s="23">
        <v>0</v>
      </c>
      <c r="R82" s="24"/>
      <c r="S82" s="25">
        <v>0</v>
      </c>
      <c r="T82" s="24">
        <v>20</v>
      </c>
      <c r="U82" s="24">
        <v>14</v>
      </c>
      <c r="V82" s="24">
        <v>3</v>
      </c>
    </row>
    <row r="83" spans="1:22" ht="20.100000000000001" hidden="1" customHeight="1" thickBot="1" x14ac:dyDescent="0.25">
      <c r="A83" s="30" t="s">
        <v>195</v>
      </c>
      <c r="B83" s="34"/>
      <c r="C83" s="35"/>
      <c r="D83" s="38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6"/>
    </row>
    <row r="84" spans="1:22" ht="20.100000000000001" hidden="1" customHeight="1" thickBot="1" x14ac:dyDescent="0.25">
      <c r="A84" s="31" t="s">
        <v>196</v>
      </c>
      <c r="B84" s="10" t="s">
        <v>32</v>
      </c>
      <c r="C84" s="10"/>
      <c r="D84" s="39" t="s">
        <v>33</v>
      </c>
      <c r="E84" s="11" t="s">
        <v>34</v>
      </c>
      <c r="F84" s="12" t="s">
        <v>35</v>
      </c>
      <c r="G84" s="13" t="s">
        <v>36</v>
      </c>
      <c r="H84" s="12" t="s">
        <v>37</v>
      </c>
      <c r="I84" s="14" t="s">
        <v>38</v>
      </c>
      <c r="J84" s="14" t="s">
        <v>36</v>
      </c>
      <c r="K84" s="15" t="s">
        <v>39</v>
      </c>
      <c r="L84" s="14" t="s">
        <v>40</v>
      </c>
      <c r="M84" s="14" t="s">
        <v>36</v>
      </c>
      <c r="N84" s="15" t="s">
        <v>41</v>
      </c>
      <c r="O84" s="16">
        <v>0.2</v>
      </c>
      <c r="P84" s="16">
        <v>0.5</v>
      </c>
      <c r="Q84" s="16">
        <v>1</v>
      </c>
      <c r="R84" s="10" t="s">
        <v>42</v>
      </c>
      <c r="S84" s="10" t="s">
        <v>43</v>
      </c>
      <c r="T84" s="10" t="s">
        <v>44</v>
      </c>
      <c r="U84" s="10" t="s">
        <v>45</v>
      </c>
      <c r="V84" s="10" t="s">
        <v>46</v>
      </c>
    </row>
    <row r="85" spans="1:22" ht="20.100000000000001" hidden="1" customHeight="1" thickBot="1" x14ac:dyDescent="0.25">
      <c r="A85" s="29" t="s">
        <v>7</v>
      </c>
      <c r="B85" s="9">
        <v>1000</v>
      </c>
      <c r="C85" s="9"/>
      <c r="D85" s="37" t="s">
        <v>65</v>
      </c>
      <c r="E85" s="18">
        <v>470</v>
      </c>
      <c r="F85" s="19">
        <v>50</v>
      </c>
      <c r="G85" s="20" t="s">
        <v>57</v>
      </c>
      <c r="H85" s="19">
        <v>9.4</v>
      </c>
      <c r="I85" s="21">
        <v>1</v>
      </c>
      <c r="J85" s="21" t="s">
        <v>57</v>
      </c>
      <c r="K85" s="21">
        <v>9.4</v>
      </c>
      <c r="L85" s="22">
        <v>10</v>
      </c>
      <c r="M85" s="22" t="s">
        <v>58</v>
      </c>
      <c r="N85" s="23">
        <v>0.94</v>
      </c>
      <c r="O85" s="23">
        <v>1.1279999999999999</v>
      </c>
      <c r="P85" s="23">
        <v>1.41</v>
      </c>
      <c r="Q85" s="23">
        <v>1.88</v>
      </c>
      <c r="R85" s="24">
        <v>40</v>
      </c>
      <c r="S85" s="25">
        <v>4</v>
      </c>
      <c r="T85" s="24"/>
      <c r="U85" s="24"/>
      <c r="V85" s="24"/>
    </row>
    <row r="86" spans="1:22" ht="20.100000000000001" hidden="1" customHeight="1" thickBot="1" x14ac:dyDescent="0.25">
      <c r="A86" s="32" t="s">
        <v>197</v>
      </c>
      <c r="B86" s="24">
        <v>500</v>
      </c>
      <c r="C86" s="24"/>
      <c r="D86" s="33" t="s">
        <v>198</v>
      </c>
      <c r="E86" s="18">
        <v>525</v>
      </c>
      <c r="F86" s="19">
        <v>1</v>
      </c>
      <c r="G86" s="20" t="s">
        <v>50</v>
      </c>
      <c r="H86" s="19">
        <v>525</v>
      </c>
      <c r="I86" s="21">
        <v>50</v>
      </c>
      <c r="J86" s="21" t="s">
        <v>57</v>
      </c>
      <c r="K86" s="21">
        <v>10.5</v>
      </c>
      <c r="L86" s="22">
        <v>10</v>
      </c>
      <c r="M86" s="22" t="s">
        <v>58</v>
      </c>
      <c r="N86" s="23">
        <v>1.05</v>
      </c>
      <c r="O86" s="23">
        <v>1.26</v>
      </c>
      <c r="P86" s="23">
        <v>1.575</v>
      </c>
      <c r="Q86" s="23">
        <v>2.1</v>
      </c>
      <c r="R86" s="24"/>
      <c r="S86" s="25">
        <v>0</v>
      </c>
      <c r="T86" s="24"/>
      <c r="U86" s="24"/>
      <c r="V86" s="24"/>
    </row>
    <row r="87" spans="1:22" ht="20.100000000000001" hidden="1" customHeight="1" thickBot="1" x14ac:dyDescent="0.25">
      <c r="A87" s="32" t="s">
        <v>199</v>
      </c>
      <c r="B87" s="24">
        <v>250</v>
      </c>
      <c r="C87" s="24"/>
      <c r="D87" s="33" t="s">
        <v>200</v>
      </c>
      <c r="E87" s="18">
        <v>392</v>
      </c>
      <c r="F87" s="19">
        <v>8</v>
      </c>
      <c r="G87" s="20" t="s">
        <v>50</v>
      </c>
      <c r="H87" s="19">
        <v>49</v>
      </c>
      <c r="I87" s="21">
        <v>6</v>
      </c>
      <c r="J87" s="21" t="s">
        <v>162</v>
      </c>
      <c r="K87" s="21">
        <v>8.1666666669999994</v>
      </c>
      <c r="L87" s="22">
        <v>6</v>
      </c>
      <c r="M87" s="22" t="s">
        <v>58</v>
      </c>
      <c r="N87" s="23">
        <v>1.361111111</v>
      </c>
      <c r="O87" s="23">
        <v>1.6333333329999999</v>
      </c>
      <c r="P87" s="23">
        <v>2.0416666669999999</v>
      </c>
      <c r="Q87" s="23">
        <v>2.7222222220000001</v>
      </c>
      <c r="R87" s="24"/>
      <c r="S87" s="25">
        <v>0</v>
      </c>
      <c r="T87" s="24"/>
      <c r="U87" s="24"/>
      <c r="V87" s="24"/>
    </row>
    <row r="88" spans="1:22" ht="20.100000000000001" hidden="1" customHeight="1" thickBot="1" x14ac:dyDescent="0.25">
      <c r="A88" s="32" t="s">
        <v>201</v>
      </c>
      <c r="B88" s="24">
        <v>1000</v>
      </c>
      <c r="C88" s="24"/>
      <c r="D88" s="33" t="s">
        <v>202</v>
      </c>
      <c r="E88" s="18">
        <v>168</v>
      </c>
      <c r="F88" s="19">
        <v>2</v>
      </c>
      <c r="G88" s="20" t="s">
        <v>50</v>
      </c>
      <c r="H88" s="19">
        <v>84</v>
      </c>
      <c r="I88" s="21">
        <v>10</v>
      </c>
      <c r="J88" s="21" t="s">
        <v>57</v>
      </c>
      <c r="K88" s="21">
        <v>8.4</v>
      </c>
      <c r="L88" s="22">
        <v>10</v>
      </c>
      <c r="M88" s="22" t="s">
        <v>58</v>
      </c>
      <c r="N88" s="23">
        <v>0.84</v>
      </c>
      <c r="O88" s="23">
        <v>1.008</v>
      </c>
      <c r="P88" s="23">
        <v>1.26</v>
      </c>
      <c r="Q88" s="23">
        <v>1.68</v>
      </c>
      <c r="R88" s="24"/>
      <c r="S88" s="25">
        <v>0</v>
      </c>
      <c r="T88" s="24"/>
      <c r="U88" s="24"/>
      <c r="V88" s="24"/>
    </row>
    <row r="89" spans="1:22" ht="20.100000000000001" hidden="1" customHeight="1" thickBot="1" x14ac:dyDescent="0.25">
      <c r="A89" s="32" t="s">
        <v>10</v>
      </c>
      <c r="B89" s="24">
        <v>500</v>
      </c>
      <c r="C89" s="24"/>
      <c r="D89" s="33" t="s">
        <v>203</v>
      </c>
      <c r="E89" s="18">
        <v>158</v>
      </c>
      <c r="F89" s="19">
        <v>1</v>
      </c>
      <c r="G89" s="20" t="s">
        <v>139</v>
      </c>
      <c r="H89" s="19">
        <v>158</v>
      </c>
      <c r="I89" s="21">
        <v>1000</v>
      </c>
      <c r="J89" s="21" t="s">
        <v>58</v>
      </c>
      <c r="K89" s="21">
        <v>0.158</v>
      </c>
      <c r="L89" s="22">
        <v>1</v>
      </c>
      <c r="M89" s="22" t="s">
        <v>58</v>
      </c>
      <c r="N89" s="23">
        <v>0.158</v>
      </c>
      <c r="O89" s="23">
        <v>0.18959999999999999</v>
      </c>
      <c r="P89" s="23">
        <v>0.23699999999999999</v>
      </c>
      <c r="Q89" s="23">
        <v>0.316</v>
      </c>
      <c r="R89" s="24"/>
      <c r="S89" s="25">
        <v>0</v>
      </c>
      <c r="T89" s="24"/>
      <c r="U89" s="24"/>
      <c r="V89" s="24"/>
    </row>
    <row r="90" spans="1:22" ht="20.100000000000001" hidden="1" customHeight="1" thickBot="1" x14ac:dyDescent="0.25">
      <c r="A90" s="32" t="s">
        <v>204</v>
      </c>
      <c r="B90" s="24">
        <v>5</v>
      </c>
      <c r="C90" s="24"/>
      <c r="D90" s="33" t="s">
        <v>204</v>
      </c>
      <c r="E90" s="18">
        <v>130</v>
      </c>
      <c r="F90" s="19">
        <v>5</v>
      </c>
      <c r="G90" s="20" t="s">
        <v>54</v>
      </c>
      <c r="H90" s="19">
        <v>26</v>
      </c>
      <c r="I90" s="21">
        <v>1</v>
      </c>
      <c r="J90" s="21" t="s">
        <v>54</v>
      </c>
      <c r="K90" s="21">
        <v>26</v>
      </c>
      <c r="L90" s="22">
        <v>1</v>
      </c>
      <c r="M90" s="22" t="s">
        <v>54</v>
      </c>
      <c r="N90" s="23">
        <v>26</v>
      </c>
      <c r="O90" s="23">
        <v>31.2</v>
      </c>
      <c r="P90" s="23">
        <v>39</v>
      </c>
      <c r="Q90" s="23">
        <v>52</v>
      </c>
      <c r="R90" s="24"/>
      <c r="S90" s="25">
        <v>0</v>
      </c>
      <c r="T90" s="24"/>
      <c r="U90" s="24"/>
      <c r="V90" s="24"/>
    </row>
    <row r="91" spans="1:22" ht="20.100000000000001" hidden="1" customHeight="1" thickBot="1" x14ac:dyDescent="0.25">
      <c r="A91" s="33" t="s">
        <v>205</v>
      </c>
      <c r="B91" s="24">
        <v>2</v>
      </c>
      <c r="C91" s="24"/>
      <c r="D91" s="33" t="s">
        <v>206</v>
      </c>
      <c r="E91" s="18">
        <v>30</v>
      </c>
      <c r="F91" s="19">
        <v>1</v>
      </c>
      <c r="G91" s="20" t="s">
        <v>50</v>
      </c>
      <c r="H91" s="19">
        <v>30</v>
      </c>
      <c r="I91" s="21">
        <v>10</v>
      </c>
      <c r="J91" s="21" t="s">
        <v>96</v>
      </c>
      <c r="K91" s="21">
        <v>3</v>
      </c>
      <c r="L91" s="22">
        <v>1</v>
      </c>
      <c r="M91" s="22" t="s">
        <v>96</v>
      </c>
      <c r="N91" s="23">
        <v>3</v>
      </c>
      <c r="O91" s="23">
        <v>3.6</v>
      </c>
      <c r="P91" s="23">
        <v>4.5</v>
      </c>
      <c r="Q91" s="23">
        <v>6</v>
      </c>
      <c r="R91" s="24"/>
      <c r="S91" s="25">
        <v>0</v>
      </c>
      <c r="T91" s="24"/>
      <c r="U91" s="24"/>
      <c r="V91" s="24"/>
    </row>
    <row r="92" spans="1:22" ht="20.100000000000001" hidden="1" customHeight="1" thickBot="1" x14ac:dyDescent="0.25">
      <c r="A92" s="29" t="s">
        <v>188</v>
      </c>
      <c r="B92" s="24">
        <v>500</v>
      </c>
      <c r="C92" s="24"/>
      <c r="D92" s="37" t="s">
        <v>189</v>
      </c>
      <c r="E92" s="18">
        <v>568</v>
      </c>
      <c r="F92" s="19">
        <v>2</v>
      </c>
      <c r="G92" s="20" t="s">
        <v>50</v>
      </c>
      <c r="H92" s="19">
        <v>284</v>
      </c>
      <c r="I92" s="21">
        <v>2</v>
      </c>
      <c r="J92" s="21" t="s">
        <v>57</v>
      </c>
      <c r="K92" s="21">
        <v>142</v>
      </c>
      <c r="L92" s="22">
        <v>15</v>
      </c>
      <c r="M92" s="22" t="s">
        <v>58</v>
      </c>
      <c r="N92" s="23">
        <v>9.4666666670000001</v>
      </c>
      <c r="O92" s="23">
        <v>11.36</v>
      </c>
      <c r="P92" s="23">
        <v>14.2</v>
      </c>
      <c r="Q92" s="23">
        <v>18.93333333</v>
      </c>
      <c r="R92" s="24"/>
      <c r="S92" s="25">
        <v>0</v>
      </c>
      <c r="T92" s="24"/>
      <c r="U92" s="24"/>
      <c r="V92" s="24"/>
    </row>
    <row r="93" spans="1:22" ht="20.100000000000001" hidden="1" customHeight="1" thickBot="1" x14ac:dyDescent="0.25">
      <c r="A93" s="32" t="s">
        <v>207</v>
      </c>
      <c r="B93" s="24">
        <v>3</v>
      </c>
      <c r="C93" s="24"/>
      <c r="D93" s="33" t="s">
        <v>208</v>
      </c>
      <c r="E93" s="18">
        <v>184</v>
      </c>
      <c r="F93" s="19">
        <v>1</v>
      </c>
      <c r="G93" s="20" t="s">
        <v>50</v>
      </c>
      <c r="H93" s="19">
        <v>184</v>
      </c>
      <c r="I93" s="21">
        <v>50</v>
      </c>
      <c r="J93" s="21" t="s">
        <v>96</v>
      </c>
      <c r="K93" s="21">
        <v>3.68</v>
      </c>
      <c r="L93" s="22">
        <v>1</v>
      </c>
      <c r="M93" s="22" t="s">
        <v>96</v>
      </c>
      <c r="N93" s="23">
        <v>3.68</v>
      </c>
      <c r="O93" s="23">
        <v>4.4160000000000004</v>
      </c>
      <c r="P93" s="23">
        <v>5.52</v>
      </c>
      <c r="Q93" s="23">
        <v>7.36</v>
      </c>
      <c r="R93" s="24"/>
      <c r="S93" s="25">
        <v>0</v>
      </c>
      <c r="T93" s="24"/>
      <c r="U93" s="24"/>
      <c r="V93" s="24"/>
    </row>
    <row r="94" spans="1:22" ht="20.100000000000001" hidden="1" customHeight="1" thickBot="1" x14ac:dyDescent="0.25">
      <c r="A94" s="32" t="s">
        <v>93</v>
      </c>
      <c r="B94" s="24">
        <v>500</v>
      </c>
      <c r="C94" s="24"/>
      <c r="D94" s="33" t="s">
        <v>209</v>
      </c>
      <c r="E94" s="18">
        <v>730</v>
      </c>
      <c r="F94" s="19">
        <v>1</v>
      </c>
      <c r="G94" s="20" t="s">
        <v>50</v>
      </c>
      <c r="H94" s="19">
        <v>730</v>
      </c>
      <c r="I94" s="21">
        <v>50</v>
      </c>
      <c r="J94" s="21" t="s">
        <v>57</v>
      </c>
      <c r="K94" s="21">
        <v>14.6</v>
      </c>
      <c r="L94" s="22">
        <v>10</v>
      </c>
      <c r="M94" s="22" t="s">
        <v>58</v>
      </c>
      <c r="N94" s="23">
        <v>1.46</v>
      </c>
      <c r="O94" s="23">
        <v>1.752</v>
      </c>
      <c r="P94" s="23">
        <v>2.19</v>
      </c>
      <c r="Q94" s="23">
        <v>2.92</v>
      </c>
      <c r="R94" s="24"/>
      <c r="S94" s="25">
        <v>0</v>
      </c>
      <c r="T94" s="24"/>
      <c r="U94" s="24"/>
      <c r="V94" s="24"/>
    </row>
    <row r="95" spans="1:22" ht="20.100000000000001" hidden="1" customHeight="1" thickBot="1" x14ac:dyDescent="0.25">
      <c r="A95" s="32" t="s">
        <v>210</v>
      </c>
      <c r="B95" s="24" t="s">
        <v>211</v>
      </c>
      <c r="C95" s="24"/>
      <c r="D95" s="33" t="s">
        <v>212</v>
      </c>
      <c r="E95" s="18">
        <v>170</v>
      </c>
      <c r="F95" s="19">
        <v>1</v>
      </c>
      <c r="G95" s="20" t="s">
        <v>50</v>
      </c>
      <c r="H95" s="19">
        <v>170</v>
      </c>
      <c r="I95" s="21">
        <v>50</v>
      </c>
      <c r="J95" s="21" t="s">
        <v>162</v>
      </c>
      <c r="K95" s="21">
        <v>3.4</v>
      </c>
      <c r="L95" s="22">
        <v>1</v>
      </c>
      <c r="M95" s="22" t="s">
        <v>162</v>
      </c>
      <c r="N95" s="23">
        <v>3.4</v>
      </c>
      <c r="O95" s="23">
        <v>4.08</v>
      </c>
      <c r="P95" s="23">
        <v>5.0999999999999996</v>
      </c>
      <c r="Q95" s="23">
        <v>6.8</v>
      </c>
      <c r="R95" s="24"/>
      <c r="S95" s="25">
        <v>0</v>
      </c>
      <c r="T95" s="24"/>
      <c r="U95" s="24"/>
      <c r="V95" s="24"/>
    </row>
    <row r="96" spans="1:22" ht="20.100000000000001" hidden="1" customHeight="1" thickBot="1" x14ac:dyDescent="0.25">
      <c r="A96" s="29" t="s">
        <v>190</v>
      </c>
      <c r="B96" s="24">
        <v>250</v>
      </c>
      <c r="C96" s="24"/>
      <c r="D96" s="37" t="s">
        <v>191</v>
      </c>
      <c r="E96" s="18">
        <v>53.75</v>
      </c>
      <c r="F96" s="19">
        <v>1</v>
      </c>
      <c r="G96" s="20" t="s">
        <v>50</v>
      </c>
      <c r="H96" s="19">
        <v>53.75</v>
      </c>
      <c r="I96" s="21">
        <v>2</v>
      </c>
      <c r="J96" s="21" t="s">
        <v>57</v>
      </c>
      <c r="K96" s="21">
        <v>26.875</v>
      </c>
      <c r="L96" s="22">
        <v>5</v>
      </c>
      <c r="M96" s="22" t="s">
        <v>192</v>
      </c>
      <c r="N96" s="23">
        <v>5.375</v>
      </c>
      <c r="O96" s="23">
        <v>6.45</v>
      </c>
      <c r="P96" s="23">
        <v>8.0625</v>
      </c>
      <c r="Q96" s="23">
        <v>10.75</v>
      </c>
      <c r="R96" s="24"/>
      <c r="S96" s="25">
        <v>0</v>
      </c>
      <c r="T96" s="24"/>
      <c r="U96" s="24"/>
      <c r="V96" s="24"/>
    </row>
    <row r="97" spans="1:22" ht="20.100000000000001" hidden="1" customHeight="1" thickBot="1" x14ac:dyDescent="0.25">
      <c r="A97" s="32" t="s">
        <v>213</v>
      </c>
      <c r="B97" s="24">
        <v>1000</v>
      </c>
      <c r="C97" s="24"/>
      <c r="D97" s="33" t="s">
        <v>66</v>
      </c>
      <c r="E97" s="18">
        <v>910</v>
      </c>
      <c r="F97" s="19">
        <v>10</v>
      </c>
      <c r="G97" s="20" t="s">
        <v>57</v>
      </c>
      <c r="H97" s="19">
        <v>91</v>
      </c>
      <c r="I97" s="21">
        <v>1</v>
      </c>
      <c r="J97" s="21" t="s">
        <v>57</v>
      </c>
      <c r="K97" s="21">
        <v>91</v>
      </c>
      <c r="L97" s="22">
        <v>10</v>
      </c>
      <c r="M97" s="22" t="s">
        <v>58</v>
      </c>
      <c r="N97" s="23">
        <v>9.1</v>
      </c>
      <c r="O97" s="23">
        <v>10.92</v>
      </c>
      <c r="P97" s="23">
        <v>13.65</v>
      </c>
      <c r="Q97" s="23">
        <v>18.2</v>
      </c>
      <c r="R97" s="24"/>
      <c r="S97" s="25">
        <v>0</v>
      </c>
      <c r="T97" s="24"/>
      <c r="U97" s="24"/>
      <c r="V97" s="24"/>
    </row>
    <row r="98" spans="1:22" ht="20.100000000000001" hidden="1" customHeight="1" thickBot="1" x14ac:dyDescent="0.25">
      <c r="A98" s="32" t="s">
        <v>4</v>
      </c>
      <c r="B98" s="24">
        <v>400</v>
      </c>
      <c r="C98" s="24"/>
      <c r="D98" s="33" t="s">
        <v>214</v>
      </c>
      <c r="E98" s="18">
        <v>780</v>
      </c>
      <c r="F98" s="19">
        <v>10</v>
      </c>
      <c r="G98" s="20" t="s">
        <v>50</v>
      </c>
      <c r="H98" s="19">
        <v>78</v>
      </c>
      <c r="I98" s="21">
        <v>1</v>
      </c>
      <c r="J98" s="21" t="s">
        <v>57</v>
      </c>
      <c r="K98" s="21">
        <v>78</v>
      </c>
      <c r="L98" s="22">
        <v>10</v>
      </c>
      <c r="M98" s="22" t="s">
        <v>58</v>
      </c>
      <c r="N98" s="23">
        <v>7.8</v>
      </c>
      <c r="O98" s="23">
        <v>9.36</v>
      </c>
      <c r="P98" s="23">
        <v>11.7</v>
      </c>
      <c r="Q98" s="23">
        <v>15.6</v>
      </c>
      <c r="R98" s="24"/>
      <c r="S98" s="25">
        <v>0</v>
      </c>
      <c r="T98" s="24"/>
      <c r="U98" s="24"/>
      <c r="V98" s="24"/>
    </row>
    <row r="99" spans="1:22" ht="20.100000000000001" hidden="1" customHeight="1" thickBot="1" x14ac:dyDescent="0.25">
      <c r="A99" s="32" t="s">
        <v>215</v>
      </c>
      <c r="B99" s="24">
        <v>5</v>
      </c>
      <c r="C99" s="24"/>
      <c r="D99" s="33" t="s">
        <v>215</v>
      </c>
      <c r="E99" s="18">
        <v>323</v>
      </c>
      <c r="F99" s="19">
        <v>1</v>
      </c>
      <c r="G99" s="20" t="s">
        <v>49</v>
      </c>
      <c r="H99" s="19">
        <v>323</v>
      </c>
      <c r="I99" s="21">
        <v>12</v>
      </c>
      <c r="J99" s="21" t="s">
        <v>54</v>
      </c>
      <c r="K99" s="21">
        <v>26.916666670000001</v>
      </c>
      <c r="L99" s="22">
        <v>1</v>
      </c>
      <c r="M99" s="22" t="s">
        <v>54</v>
      </c>
      <c r="N99" s="23">
        <v>26.916666670000001</v>
      </c>
      <c r="O99" s="23">
        <v>32.299999999999997</v>
      </c>
      <c r="P99" s="23">
        <v>40.375</v>
      </c>
      <c r="Q99" s="23">
        <v>53.833333330000002</v>
      </c>
      <c r="R99" s="24"/>
      <c r="S99" s="25">
        <v>0</v>
      </c>
      <c r="T99" s="24"/>
      <c r="U99" s="24"/>
      <c r="V99" s="24"/>
    </row>
    <row r="100" spans="1:22" ht="20.100000000000001" hidden="1" customHeight="1" thickBot="1" x14ac:dyDescent="0.25">
      <c r="A100" s="32" t="s">
        <v>216</v>
      </c>
      <c r="B100" s="24">
        <v>1</v>
      </c>
      <c r="C100" s="24"/>
      <c r="D100" s="33" t="s">
        <v>217</v>
      </c>
      <c r="E100" s="18">
        <v>109</v>
      </c>
      <c r="F100" s="19">
        <v>1</v>
      </c>
      <c r="G100" s="20" t="s">
        <v>50</v>
      </c>
      <c r="H100" s="19">
        <v>109</v>
      </c>
      <c r="I100" s="21">
        <v>10</v>
      </c>
      <c r="J100" s="21" t="s">
        <v>96</v>
      </c>
      <c r="K100" s="21">
        <v>10.9</v>
      </c>
      <c r="L100" s="22">
        <v>1</v>
      </c>
      <c r="M100" s="22" t="s">
        <v>96</v>
      </c>
      <c r="N100" s="23">
        <v>10.9</v>
      </c>
      <c r="O100" s="23">
        <v>13.08</v>
      </c>
      <c r="P100" s="23">
        <v>16.350000000000001</v>
      </c>
      <c r="Q100" s="23">
        <v>21.8</v>
      </c>
      <c r="R100" s="24"/>
      <c r="S100" s="25">
        <v>0</v>
      </c>
      <c r="T100" s="24"/>
      <c r="U100" s="24"/>
      <c r="V100" s="24"/>
    </row>
    <row r="101" spans="1:22" ht="20.100000000000001" hidden="1" customHeight="1" thickBot="1" x14ac:dyDescent="0.25">
      <c r="A101" s="32" t="s">
        <v>218</v>
      </c>
      <c r="B101" s="24">
        <v>10</v>
      </c>
      <c r="C101" s="24"/>
      <c r="D101" s="33" t="s">
        <v>218</v>
      </c>
      <c r="E101" s="18">
        <v>309</v>
      </c>
      <c r="F101" s="19">
        <v>1</v>
      </c>
      <c r="G101" s="20" t="s">
        <v>49</v>
      </c>
      <c r="H101" s="19">
        <v>309</v>
      </c>
      <c r="I101" s="21">
        <v>12</v>
      </c>
      <c r="J101" s="21" t="s">
        <v>54</v>
      </c>
      <c r="K101" s="21">
        <v>25.75</v>
      </c>
      <c r="L101" s="22">
        <v>1</v>
      </c>
      <c r="M101" s="22" t="s">
        <v>54</v>
      </c>
      <c r="N101" s="23">
        <v>25.75</v>
      </c>
      <c r="O101" s="23">
        <v>30.9</v>
      </c>
      <c r="P101" s="23">
        <v>38.625</v>
      </c>
      <c r="Q101" s="23">
        <v>51.5</v>
      </c>
      <c r="R101" s="24"/>
      <c r="S101" s="25">
        <v>0</v>
      </c>
      <c r="T101" s="24"/>
      <c r="U101" s="24"/>
      <c r="V101" s="24"/>
    </row>
    <row r="102" spans="1:22" ht="20.100000000000001" hidden="1" customHeight="1" thickBot="1" x14ac:dyDescent="0.25">
      <c r="A102" s="33" t="s">
        <v>20</v>
      </c>
      <c r="B102" s="24">
        <v>20</v>
      </c>
      <c r="C102" s="24"/>
      <c r="D102" s="33" t="s">
        <v>219</v>
      </c>
      <c r="E102" s="18">
        <v>161.25</v>
      </c>
      <c r="F102" s="19">
        <v>5</v>
      </c>
      <c r="G102" s="20" t="s">
        <v>50</v>
      </c>
      <c r="H102" s="19">
        <v>32.25</v>
      </c>
      <c r="I102" s="21">
        <v>1</v>
      </c>
      <c r="J102" s="21" t="s">
        <v>57</v>
      </c>
      <c r="K102" s="21">
        <v>32.25</v>
      </c>
      <c r="L102" s="22">
        <v>14</v>
      </c>
      <c r="M102" s="22" t="s">
        <v>58</v>
      </c>
      <c r="N102" s="23">
        <v>2.3035714289999998</v>
      </c>
      <c r="O102" s="23">
        <v>2.7642857140000001</v>
      </c>
      <c r="P102" s="23">
        <v>3.4553571430000001</v>
      </c>
      <c r="Q102" s="23">
        <v>4.6071428570000004</v>
      </c>
      <c r="R102" s="24"/>
      <c r="S102" s="25">
        <v>0</v>
      </c>
      <c r="T102" s="24"/>
      <c r="U102" s="24"/>
      <c r="V102" s="24"/>
    </row>
    <row r="103" spans="1:22" ht="20.100000000000001" hidden="1" customHeight="1" thickBot="1" x14ac:dyDescent="0.25">
      <c r="A103" s="32" t="s">
        <v>220</v>
      </c>
      <c r="B103" s="24">
        <v>5</v>
      </c>
      <c r="C103" s="24"/>
      <c r="D103" s="33" t="s">
        <v>221</v>
      </c>
      <c r="E103" s="18">
        <v>166</v>
      </c>
      <c r="F103" s="19">
        <v>2</v>
      </c>
      <c r="G103" s="20" t="s">
        <v>50</v>
      </c>
      <c r="H103" s="19">
        <v>83</v>
      </c>
      <c r="I103" s="21">
        <v>10</v>
      </c>
      <c r="J103" s="21" t="s">
        <v>162</v>
      </c>
      <c r="K103" s="21">
        <v>8.3000000000000007</v>
      </c>
      <c r="L103" s="22">
        <v>1</v>
      </c>
      <c r="M103" s="22" t="s">
        <v>162</v>
      </c>
      <c r="N103" s="23">
        <v>8.3000000000000007</v>
      </c>
      <c r="O103" s="23">
        <v>9.9600000000000009</v>
      </c>
      <c r="P103" s="23">
        <v>12.45</v>
      </c>
      <c r="Q103" s="23">
        <v>16.600000000000001</v>
      </c>
      <c r="R103" s="24"/>
      <c r="S103" s="25">
        <v>0</v>
      </c>
      <c r="T103" s="24"/>
      <c r="U103" s="24"/>
      <c r="V103" s="24"/>
    </row>
    <row r="104" spans="1:22" ht="20.100000000000001" hidden="1" customHeight="1" thickBot="1" x14ac:dyDescent="0.25">
      <c r="A104" s="32" t="s">
        <v>5</v>
      </c>
      <c r="B104" s="24">
        <v>100</v>
      </c>
      <c r="C104" s="24"/>
      <c r="D104" s="33" t="s">
        <v>222</v>
      </c>
      <c r="E104" s="18">
        <v>100</v>
      </c>
      <c r="F104" s="19">
        <v>1</v>
      </c>
      <c r="G104" s="20" t="s">
        <v>50</v>
      </c>
      <c r="H104" s="19">
        <v>100</v>
      </c>
      <c r="I104" s="21">
        <v>60</v>
      </c>
      <c r="J104" s="21" t="s">
        <v>162</v>
      </c>
      <c r="K104" s="21">
        <v>1.6666666670000001</v>
      </c>
      <c r="L104" s="22">
        <v>1</v>
      </c>
      <c r="M104" s="22" t="s">
        <v>162</v>
      </c>
      <c r="N104" s="23">
        <v>1.6666666670000001</v>
      </c>
      <c r="O104" s="23">
        <v>2</v>
      </c>
      <c r="P104" s="23">
        <v>2.5</v>
      </c>
      <c r="Q104" s="23">
        <v>3.3333333330000001</v>
      </c>
      <c r="R104" s="24"/>
      <c r="S104" s="25">
        <v>0</v>
      </c>
      <c r="T104" s="24"/>
      <c r="U104" s="24"/>
      <c r="V104" s="24"/>
    </row>
    <row r="105" spans="1:22" ht="20.100000000000001" hidden="1" customHeight="1" thickBot="1" x14ac:dyDescent="0.25">
      <c r="A105" s="32" t="s">
        <v>223</v>
      </c>
      <c r="B105" s="24">
        <v>40</v>
      </c>
      <c r="C105" s="24"/>
      <c r="D105" s="33" t="s">
        <v>224</v>
      </c>
      <c r="E105" s="18">
        <v>160</v>
      </c>
      <c r="F105" s="19">
        <v>5</v>
      </c>
      <c r="G105" s="20" t="s">
        <v>225</v>
      </c>
      <c r="H105" s="19">
        <v>32</v>
      </c>
      <c r="I105" s="21">
        <v>1</v>
      </c>
      <c r="J105" s="21" t="s">
        <v>81</v>
      </c>
      <c r="K105" s="21">
        <v>32</v>
      </c>
      <c r="L105" s="22">
        <v>1</v>
      </c>
      <c r="M105" s="22" t="s">
        <v>81</v>
      </c>
      <c r="N105" s="23">
        <v>32</v>
      </c>
      <c r="O105" s="23">
        <v>38.4</v>
      </c>
      <c r="P105" s="23">
        <v>48</v>
      </c>
      <c r="Q105" s="23">
        <v>64</v>
      </c>
      <c r="R105" s="24"/>
      <c r="S105" s="25">
        <v>0</v>
      </c>
      <c r="T105" s="24"/>
      <c r="U105" s="24"/>
      <c r="V105" s="24"/>
    </row>
    <row r="106" spans="1:22" ht="20.100000000000001" hidden="1" customHeight="1" thickBot="1" x14ac:dyDescent="0.25">
      <c r="A106" s="32" t="s">
        <v>226</v>
      </c>
      <c r="B106" s="24">
        <v>200</v>
      </c>
      <c r="C106" s="24"/>
      <c r="D106" s="33" t="s">
        <v>227</v>
      </c>
      <c r="E106" s="18">
        <v>334</v>
      </c>
      <c r="F106" s="19">
        <v>2</v>
      </c>
      <c r="G106" s="20" t="s">
        <v>50</v>
      </c>
      <c r="H106" s="19">
        <v>167</v>
      </c>
      <c r="I106" s="21">
        <v>3</v>
      </c>
      <c r="J106" s="21" t="s">
        <v>57</v>
      </c>
      <c r="K106" s="21">
        <v>55.666666669999998</v>
      </c>
      <c r="L106" s="22">
        <v>10</v>
      </c>
      <c r="M106" s="22" t="s">
        <v>58</v>
      </c>
      <c r="N106" s="23">
        <v>5.5666666669999998</v>
      </c>
      <c r="O106" s="23">
        <v>6.68</v>
      </c>
      <c r="P106" s="23">
        <v>8.35</v>
      </c>
      <c r="Q106" s="23">
        <v>11.133333329999999</v>
      </c>
      <c r="R106" s="24"/>
      <c r="S106" s="25"/>
      <c r="T106" s="9"/>
      <c r="U106" s="24"/>
      <c r="V106" s="24"/>
    </row>
    <row r="107" spans="1:22" ht="20.100000000000001" hidden="1" customHeight="1" thickBot="1" x14ac:dyDescent="0.25">
      <c r="A107" s="32" t="s">
        <v>8</v>
      </c>
      <c r="B107" s="24">
        <v>150</v>
      </c>
      <c r="C107" s="24"/>
      <c r="D107" s="33" t="s">
        <v>228</v>
      </c>
      <c r="E107" s="18">
        <v>585</v>
      </c>
      <c r="F107" s="19">
        <v>1</v>
      </c>
      <c r="G107" s="20" t="s">
        <v>50</v>
      </c>
      <c r="H107" s="19">
        <v>585</v>
      </c>
      <c r="I107" s="21">
        <v>50</v>
      </c>
      <c r="J107" s="21" t="s">
        <v>57</v>
      </c>
      <c r="K107" s="21">
        <v>11.7</v>
      </c>
      <c r="L107" s="22">
        <v>10</v>
      </c>
      <c r="M107" s="22" t="s">
        <v>58</v>
      </c>
      <c r="N107" s="23">
        <v>1.17</v>
      </c>
      <c r="O107" s="23">
        <v>1.4039999999999999</v>
      </c>
      <c r="P107" s="23">
        <v>1.7549999999999999</v>
      </c>
      <c r="Q107" s="23">
        <v>2.34</v>
      </c>
      <c r="R107" s="24"/>
      <c r="S107" s="25">
        <v>0</v>
      </c>
      <c r="T107" s="24"/>
      <c r="U107" s="24"/>
      <c r="V107" s="24"/>
    </row>
    <row r="108" spans="1:22" ht="20.100000000000001" hidden="1" customHeight="1" thickBot="1" x14ac:dyDescent="0.25">
      <c r="A108" s="32" t="s">
        <v>229</v>
      </c>
      <c r="B108" s="24">
        <v>100</v>
      </c>
      <c r="C108" s="24"/>
      <c r="D108" s="33" t="s">
        <v>230</v>
      </c>
      <c r="E108" s="18">
        <v>102</v>
      </c>
      <c r="F108" s="19">
        <v>1</v>
      </c>
      <c r="G108" s="20" t="s">
        <v>50</v>
      </c>
      <c r="H108" s="19">
        <v>102</v>
      </c>
      <c r="I108" s="21">
        <v>10</v>
      </c>
      <c r="J108" s="21" t="s">
        <v>96</v>
      </c>
      <c r="K108" s="21">
        <v>10.199999999999999</v>
      </c>
      <c r="L108" s="22">
        <v>1</v>
      </c>
      <c r="M108" s="22" t="s">
        <v>96</v>
      </c>
      <c r="N108" s="23">
        <v>10.199999999999999</v>
      </c>
      <c r="O108" s="23">
        <v>12.24</v>
      </c>
      <c r="P108" s="23">
        <v>15.3</v>
      </c>
      <c r="Q108" s="23">
        <v>20.399999999999999</v>
      </c>
      <c r="R108" s="24"/>
      <c r="S108" s="25">
        <v>0</v>
      </c>
      <c r="T108" s="9"/>
      <c r="U108" s="24"/>
      <c r="V108" s="24"/>
    </row>
    <row r="109" spans="1:22" ht="20.100000000000001" hidden="1" customHeight="1" thickBot="1" x14ac:dyDescent="0.25">
      <c r="A109" s="32" t="s">
        <v>231</v>
      </c>
      <c r="B109" s="24">
        <v>90</v>
      </c>
      <c r="C109" s="24"/>
      <c r="D109" s="33" t="s">
        <v>232</v>
      </c>
      <c r="E109" s="18"/>
      <c r="F109" s="19"/>
      <c r="G109" s="20"/>
      <c r="H109" s="19" t="e">
        <v>#DIV/0!</v>
      </c>
      <c r="I109" s="21"/>
      <c r="J109" s="21"/>
      <c r="K109" s="21" t="e">
        <v>#DIV/0!</v>
      </c>
      <c r="L109" s="22"/>
      <c r="M109" s="22"/>
      <c r="N109" s="23" t="e">
        <v>#DIV/0!</v>
      </c>
      <c r="O109" s="23" t="e">
        <v>#DIV/0!</v>
      </c>
      <c r="P109" s="23" t="e">
        <v>#DIV/0!</v>
      </c>
      <c r="Q109" s="23" t="e">
        <v>#DIV/0!</v>
      </c>
      <c r="R109" s="9"/>
      <c r="S109" s="9"/>
      <c r="T109" s="9"/>
      <c r="U109" s="24"/>
      <c r="V109" s="24"/>
    </row>
    <row r="110" spans="1:22" ht="20.100000000000001" hidden="1" customHeight="1" thickBot="1" x14ac:dyDescent="0.25">
      <c r="A110" s="32" t="s">
        <v>233</v>
      </c>
      <c r="B110" s="24">
        <v>20</v>
      </c>
      <c r="C110" s="24"/>
      <c r="D110" s="37" t="s">
        <v>234</v>
      </c>
      <c r="E110" s="18"/>
      <c r="F110" s="19">
        <v>1</v>
      </c>
      <c r="G110" s="20" t="s">
        <v>50</v>
      </c>
      <c r="H110" s="19">
        <v>0</v>
      </c>
      <c r="I110" s="21">
        <v>10</v>
      </c>
      <c r="J110" s="21" t="s">
        <v>57</v>
      </c>
      <c r="K110" s="21">
        <v>0</v>
      </c>
      <c r="L110" s="22">
        <v>10</v>
      </c>
      <c r="M110" s="22" t="s">
        <v>58</v>
      </c>
      <c r="N110" s="23">
        <v>0</v>
      </c>
      <c r="O110" s="23">
        <v>0</v>
      </c>
      <c r="P110" s="23">
        <v>0</v>
      </c>
      <c r="Q110" s="23">
        <v>0</v>
      </c>
      <c r="R110" s="9"/>
      <c r="S110" s="9"/>
      <c r="T110" s="9"/>
      <c r="U110" s="24"/>
      <c r="V110" s="24"/>
    </row>
    <row r="111" spans="1:22" ht="20.100000000000001" hidden="1" customHeight="1" thickBot="1" x14ac:dyDescent="0.25">
      <c r="A111" s="32" t="s">
        <v>235</v>
      </c>
      <c r="B111" s="24">
        <v>5</v>
      </c>
      <c r="C111" s="24"/>
      <c r="D111" s="37" t="s">
        <v>236</v>
      </c>
      <c r="E111" s="18"/>
      <c r="F111" s="19">
        <v>10</v>
      </c>
      <c r="G111" s="20" t="s">
        <v>50</v>
      </c>
      <c r="H111" s="19">
        <v>0</v>
      </c>
      <c r="I111" s="21">
        <v>1</v>
      </c>
      <c r="J111" s="21" t="s">
        <v>51</v>
      </c>
      <c r="K111" s="21">
        <v>0</v>
      </c>
      <c r="L111" s="22">
        <v>1</v>
      </c>
      <c r="M111" s="22" t="s">
        <v>51</v>
      </c>
      <c r="N111" s="23">
        <v>0</v>
      </c>
      <c r="O111" s="23">
        <v>0</v>
      </c>
      <c r="P111" s="23">
        <v>0</v>
      </c>
      <c r="Q111" s="23">
        <v>0</v>
      </c>
      <c r="R111" s="9"/>
      <c r="S111" s="9"/>
      <c r="T111" s="9"/>
      <c r="U111" s="24"/>
      <c r="V111" s="24"/>
    </row>
    <row r="112" spans="1:22" ht="20.100000000000001" hidden="1" customHeight="1" thickBot="1" x14ac:dyDescent="0.25">
      <c r="A112" s="32"/>
      <c r="B112" s="24"/>
      <c r="C112" s="24"/>
      <c r="D112" s="37"/>
      <c r="E112" s="18"/>
      <c r="F112" s="19"/>
      <c r="G112" s="20"/>
      <c r="H112" s="19" t="e">
        <v>#DIV/0!</v>
      </c>
      <c r="I112" s="21"/>
      <c r="J112" s="21"/>
      <c r="K112" s="21" t="e">
        <v>#DIV/0!</v>
      </c>
      <c r="L112" s="22"/>
      <c r="M112" s="22"/>
      <c r="N112" s="23" t="e">
        <v>#DIV/0!</v>
      </c>
      <c r="O112" s="23" t="e">
        <v>#DIV/0!</v>
      </c>
      <c r="P112" s="23" t="e">
        <v>#DIV/0!</v>
      </c>
      <c r="Q112" s="23" t="e">
        <v>#DIV/0!</v>
      </c>
      <c r="R112" s="9"/>
      <c r="S112" s="9"/>
      <c r="T112" s="9"/>
      <c r="U112" s="24"/>
      <c r="V112" s="24"/>
    </row>
    <row r="113" spans="1:22" ht="20.100000000000001" hidden="1" customHeight="1" thickBot="1" x14ac:dyDescent="0.25">
      <c r="A113" s="32"/>
      <c r="B113" s="24"/>
      <c r="C113" s="24"/>
      <c r="D113" s="37"/>
      <c r="E113" s="18"/>
      <c r="F113" s="19"/>
      <c r="G113" s="20"/>
      <c r="H113" s="19" t="e">
        <v>#DIV/0!</v>
      </c>
      <c r="I113" s="21"/>
      <c r="J113" s="21"/>
      <c r="K113" s="21" t="e">
        <v>#DIV/0!</v>
      </c>
      <c r="L113" s="22"/>
      <c r="M113" s="22"/>
      <c r="N113" s="23" t="e">
        <v>#DIV/0!</v>
      </c>
      <c r="O113" s="23" t="e">
        <v>#DIV/0!</v>
      </c>
      <c r="P113" s="23" t="e">
        <v>#DIV/0!</v>
      </c>
      <c r="Q113" s="23" t="e">
        <v>#DIV/0!</v>
      </c>
      <c r="R113" s="9"/>
      <c r="S113" s="9"/>
      <c r="T113" s="9"/>
      <c r="U113" s="24"/>
      <c r="V113" s="24"/>
    </row>
    <row r="114" spans="1:22" ht="20.100000000000001" hidden="1" customHeight="1" thickBot="1" x14ac:dyDescent="0.25">
      <c r="A114" s="32"/>
      <c r="B114" s="24"/>
      <c r="C114" s="24"/>
      <c r="D114" s="37"/>
      <c r="E114" s="18"/>
      <c r="F114" s="19"/>
      <c r="G114" s="20"/>
      <c r="H114" s="19" t="e">
        <v>#DIV/0!</v>
      </c>
      <c r="I114" s="21"/>
      <c r="J114" s="21"/>
      <c r="K114" s="21" t="e">
        <v>#DIV/0!</v>
      </c>
      <c r="L114" s="22"/>
      <c r="M114" s="22"/>
      <c r="N114" s="23" t="e">
        <v>#DIV/0!</v>
      </c>
      <c r="O114" s="23" t="e">
        <v>#DIV/0!</v>
      </c>
      <c r="P114" s="23" t="e">
        <v>#DIV/0!</v>
      </c>
      <c r="Q114" s="23" t="e">
        <v>#DIV/0!</v>
      </c>
      <c r="R114" s="9"/>
      <c r="S114" s="9"/>
      <c r="T114" s="9"/>
      <c r="U114" s="24"/>
      <c r="V114" s="24"/>
    </row>
    <row r="115" spans="1:22" ht="20.100000000000001" hidden="1" customHeight="1" thickBot="1" x14ac:dyDescent="0.25">
      <c r="A115" s="28"/>
      <c r="B115" s="24"/>
      <c r="C115" s="24"/>
      <c r="D115" s="33"/>
      <c r="E115" s="18"/>
      <c r="F115" s="19"/>
      <c r="G115" s="20"/>
      <c r="H115" s="19" t="e">
        <v>#DIV/0!</v>
      </c>
      <c r="I115" s="21"/>
      <c r="J115" s="21"/>
      <c r="K115" s="21" t="e">
        <v>#DIV/0!</v>
      </c>
      <c r="L115" s="22"/>
      <c r="M115" s="22"/>
      <c r="N115" s="23" t="e">
        <v>#DIV/0!</v>
      </c>
      <c r="O115" s="23" t="e">
        <v>#DIV/0!</v>
      </c>
      <c r="P115" s="23" t="e">
        <v>#DIV/0!</v>
      </c>
      <c r="Q115" s="23" t="e">
        <v>#DIV/0!</v>
      </c>
      <c r="R115" s="24"/>
      <c r="S115" s="24"/>
      <c r="T115" s="24"/>
      <c r="U115" s="24"/>
      <c r="V115" s="24"/>
    </row>
    <row r="116" spans="1:22" ht="20.100000000000001" hidden="1" customHeight="1" thickBot="1" x14ac:dyDescent="0.25">
      <c r="A116" s="28"/>
      <c r="B116" s="24"/>
      <c r="C116" s="24"/>
      <c r="D116" s="33"/>
      <c r="E116" s="18"/>
      <c r="F116" s="19"/>
      <c r="G116" s="20"/>
      <c r="H116" s="19" t="e">
        <v>#DIV/0!</v>
      </c>
      <c r="I116" s="21"/>
      <c r="J116" s="21"/>
      <c r="K116" s="21" t="e">
        <v>#DIV/0!</v>
      </c>
      <c r="L116" s="22"/>
      <c r="M116" s="22"/>
      <c r="N116" s="23" t="e">
        <v>#DIV/0!</v>
      </c>
      <c r="O116" s="23" t="e">
        <v>#DIV/0!</v>
      </c>
      <c r="P116" s="23" t="e">
        <v>#DIV/0!</v>
      </c>
      <c r="Q116" s="23" t="e">
        <v>#DIV/0!</v>
      </c>
      <c r="R116" s="24"/>
      <c r="S116" s="24"/>
      <c r="T116" s="24"/>
      <c r="U116" s="24"/>
      <c r="V116" s="24"/>
    </row>
    <row r="117" spans="1:22" ht="20.100000000000001" hidden="1" customHeight="1" thickBot="1" x14ac:dyDescent="0.25">
      <c r="A117" s="28"/>
      <c r="B117" s="24"/>
      <c r="C117" s="24"/>
      <c r="D117" s="33"/>
      <c r="E117" s="18"/>
      <c r="F117" s="19"/>
      <c r="G117" s="20"/>
      <c r="H117" s="19" t="e">
        <v>#DIV/0!</v>
      </c>
      <c r="I117" s="21"/>
      <c r="J117" s="21"/>
      <c r="K117" s="21" t="e">
        <v>#DIV/0!</v>
      </c>
      <c r="L117" s="22"/>
      <c r="M117" s="22"/>
      <c r="N117" s="23" t="e">
        <v>#DIV/0!</v>
      </c>
      <c r="O117" s="23" t="e">
        <v>#DIV/0!</v>
      </c>
      <c r="P117" s="23" t="e">
        <v>#DIV/0!</v>
      </c>
      <c r="Q117" s="23" t="e">
        <v>#DIV/0!</v>
      </c>
      <c r="R117" s="24"/>
      <c r="S117" s="24"/>
      <c r="T117" s="24"/>
      <c r="U117" s="24"/>
      <c r="V117" s="24"/>
    </row>
    <row r="118" spans="1:22" ht="20.100000000000001" hidden="1" customHeight="1" thickBot="1" x14ac:dyDescent="0.25">
      <c r="A118" s="28"/>
      <c r="B118" s="24"/>
      <c r="C118" s="24"/>
      <c r="D118" s="33"/>
      <c r="E118" s="18"/>
      <c r="F118" s="19"/>
      <c r="G118" s="20"/>
      <c r="H118" s="19" t="e">
        <v>#DIV/0!</v>
      </c>
      <c r="I118" s="21"/>
      <c r="J118" s="21"/>
      <c r="K118" s="21" t="e">
        <v>#DIV/0!</v>
      </c>
      <c r="L118" s="22"/>
      <c r="M118" s="22"/>
      <c r="N118" s="23" t="e">
        <v>#DIV/0!</v>
      </c>
      <c r="O118" s="23" t="e">
        <v>#DIV/0!</v>
      </c>
      <c r="P118" s="23" t="e">
        <v>#DIV/0!</v>
      </c>
      <c r="Q118" s="23" t="e">
        <v>#DIV/0!</v>
      </c>
      <c r="R118" s="24"/>
      <c r="S118" s="24"/>
      <c r="T118" s="24"/>
      <c r="U118" s="24"/>
      <c r="V118" s="24"/>
    </row>
    <row r="119" spans="1:22" ht="20.100000000000001" hidden="1" customHeight="1" thickBot="1" x14ac:dyDescent="0.25">
      <c r="A119" s="28"/>
      <c r="B119" s="24"/>
      <c r="C119" s="24">
        <v>0</v>
      </c>
      <c r="D119" s="24"/>
      <c r="E119" s="18"/>
      <c r="F119" s="19"/>
      <c r="G119" s="20"/>
      <c r="H119" s="19" t="e">
        <v>#DIV/0!</v>
      </c>
      <c r="I119" s="21"/>
      <c r="J119" s="21"/>
      <c r="K119" s="21" t="e">
        <v>#DIV/0!</v>
      </c>
      <c r="L119" s="22"/>
      <c r="M119" s="22"/>
      <c r="N119" s="23" t="e">
        <v>#DIV/0!</v>
      </c>
      <c r="O119" s="23" t="e">
        <v>#DIV/0!</v>
      </c>
      <c r="P119" s="23" t="e">
        <v>#DIV/0!</v>
      </c>
      <c r="Q119" s="23" t="e">
        <v>#DIV/0!</v>
      </c>
      <c r="R119" s="24"/>
      <c r="S119" s="24"/>
      <c r="T119" s="24"/>
      <c r="U119" s="24"/>
      <c r="V119" s="24"/>
    </row>
    <row r="120" spans="1:22" ht="20.100000000000001" hidden="1" customHeight="1" thickBot="1" x14ac:dyDescent="0.25">
      <c r="A120" s="28"/>
      <c r="B120" s="24"/>
      <c r="C120" s="24"/>
      <c r="D120" s="24"/>
      <c r="E120" s="18"/>
      <c r="F120" s="19"/>
      <c r="G120" s="20"/>
      <c r="H120" s="19" t="e">
        <v>#DIV/0!</v>
      </c>
      <c r="I120" s="21"/>
      <c r="J120" s="21"/>
      <c r="K120" s="21" t="e">
        <v>#DIV/0!</v>
      </c>
      <c r="L120" s="22"/>
      <c r="M120" s="22"/>
      <c r="N120" s="23" t="e">
        <v>#DIV/0!</v>
      </c>
      <c r="O120" s="23" t="e">
        <v>#DIV/0!</v>
      </c>
      <c r="P120" s="23" t="e">
        <v>#DIV/0!</v>
      </c>
      <c r="Q120" s="23" t="e">
        <v>#DIV/0!</v>
      </c>
      <c r="R120" s="24"/>
      <c r="S120" s="24"/>
      <c r="T120" s="24"/>
      <c r="U120" s="24"/>
      <c r="V120" s="24"/>
    </row>
    <row r="121" spans="1:22" ht="20.100000000000001" hidden="1" customHeight="1" thickBot="1" x14ac:dyDescent="0.25">
      <c r="A121" s="28"/>
      <c r="B121" s="24"/>
      <c r="C121" s="24"/>
      <c r="D121" s="24"/>
      <c r="E121" s="18"/>
      <c r="F121" s="19"/>
      <c r="G121" s="20"/>
      <c r="H121" s="19" t="e">
        <v>#DIV/0!</v>
      </c>
      <c r="I121" s="21"/>
      <c r="J121" s="21"/>
      <c r="K121" s="21" t="e">
        <v>#DIV/0!</v>
      </c>
      <c r="L121" s="22"/>
      <c r="M121" s="22"/>
      <c r="N121" s="23" t="e">
        <v>#DIV/0!</v>
      </c>
      <c r="O121" s="23" t="e">
        <v>#DIV/0!</v>
      </c>
      <c r="P121" s="23" t="e">
        <v>#DIV/0!</v>
      </c>
      <c r="Q121" s="23" t="e">
        <v>#DIV/0!</v>
      </c>
      <c r="R121" s="24"/>
      <c r="S121" s="24"/>
      <c r="T121" s="24"/>
      <c r="U121" s="24"/>
      <c r="V121" s="24"/>
    </row>
    <row r="122" spans="1:22" ht="20.100000000000001" hidden="1" customHeight="1" thickBot="1" x14ac:dyDescent="0.25">
      <c r="A122" s="28"/>
      <c r="B122" s="24"/>
      <c r="C122" s="24"/>
      <c r="D122" s="24"/>
      <c r="E122" s="18"/>
      <c r="F122" s="19"/>
      <c r="G122" s="20"/>
      <c r="H122" s="19" t="e">
        <v>#DIV/0!</v>
      </c>
      <c r="I122" s="21"/>
      <c r="J122" s="21"/>
      <c r="K122" s="21" t="e">
        <v>#DIV/0!</v>
      </c>
      <c r="L122" s="22"/>
      <c r="M122" s="22"/>
      <c r="N122" s="23" t="e">
        <v>#DIV/0!</v>
      </c>
      <c r="O122" s="23" t="e">
        <v>#DIV/0!</v>
      </c>
      <c r="P122" s="23" t="e">
        <v>#DIV/0!</v>
      </c>
      <c r="Q122" s="23" t="e">
        <v>#DIV/0!</v>
      </c>
      <c r="R122" s="24"/>
      <c r="S122" s="24"/>
      <c r="T122" s="24"/>
      <c r="U122" s="24"/>
      <c r="V122" s="24"/>
    </row>
    <row r="123" spans="1:22" ht="20.100000000000001" hidden="1" customHeight="1" thickBot="1" x14ac:dyDescent="0.25">
      <c r="A123" s="28"/>
      <c r="B123" s="24"/>
      <c r="C123" s="24"/>
      <c r="D123" s="24"/>
      <c r="E123" s="18"/>
      <c r="F123" s="19"/>
      <c r="G123" s="20"/>
      <c r="H123" s="19" t="e">
        <v>#DIV/0!</v>
      </c>
      <c r="I123" s="21"/>
      <c r="J123" s="21"/>
      <c r="K123" s="21" t="e">
        <v>#DIV/0!</v>
      </c>
      <c r="L123" s="22"/>
      <c r="M123" s="22"/>
      <c r="N123" s="23" t="e">
        <v>#DIV/0!</v>
      </c>
      <c r="O123" s="23" t="e">
        <v>#DIV/0!</v>
      </c>
      <c r="P123" s="23" t="e">
        <v>#DIV/0!</v>
      </c>
      <c r="Q123" s="23" t="e">
        <v>#DIV/0!</v>
      </c>
      <c r="R123" s="24"/>
      <c r="S123" s="24"/>
      <c r="T123" s="24"/>
      <c r="U123" s="24"/>
      <c r="V123" s="24"/>
    </row>
    <row r="124" spans="1:22" ht="20.100000000000001" hidden="1" customHeight="1" thickBot="1" x14ac:dyDescent="0.25">
      <c r="A124" s="28"/>
      <c r="B124" s="24"/>
      <c r="C124" s="24"/>
      <c r="D124" s="24"/>
      <c r="E124" s="18"/>
      <c r="F124" s="19"/>
      <c r="G124" s="20"/>
      <c r="H124" s="19" t="e">
        <v>#DIV/0!</v>
      </c>
      <c r="I124" s="21"/>
      <c r="J124" s="21"/>
      <c r="K124" s="21" t="e">
        <v>#DIV/0!</v>
      </c>
      <c r="L124" s="22"/>
      <c r="M124" s="22"/>
      <c r="N124" s="23" t="e">
        <v>#DIV/0!</v>
      </c>
      <c r="O124" s="23" t="e">
        <v>#DIV/0!</v>
      </c>
      <c r="P124" s="23" t="e">
        <v>#DIV/0!</v>
      </c>
      <c r="Q124" s="23" t="e">
        <v>#DIV/0!</v>
      </c>
      <c r="R124" s="24"/>
      <c r="S124" s="24"/>
      <c r="T124" s="24"/>
      <c r="U124" s="24"/>
      <c r="V124" s="24"/>
    </row>
    <row r="125" spans="1:22" ht="20.100000000000001" hidden="1" customHeight="1" thickBot="1" x14ac:dyDescent="0.25">
      <c r="A125" s="28"/>
      <c r="B125" s="24"/>
      <c r="C125" s="24"/>
      <c r="D125" s="24"/>
      <c r="E125" s="18"/>
      <c r="F125" s="19"/>
      <c r="G125" s="20"/>
      <c r="H125" s="19" t="e">
        <v>#DIV/0!</v>
      </c>
      <c r="I125" s="21"/>
      <c r="J125" s="21"/>
      <c r="K125" s="21" t="e">
        <v>#DIV/0!</v>
      </c>
      <c r="L125" s="22"/>
      <c r="M125" s="22"/>
      <c r="N125" s="23" t="e">
        <v>#DIV/0!</v>
      </c>
      <c r="O125" s="23" t="e">
        <v>#DIV/0!</v>
      </c>
      <c r="P125" s="23" t="e">
        <v>#DIV/0!</v>
      </c>
      <c r="Q125" s="23" t="e">
        <v>#DIV/0!</v>
      </c>
      <c r="R125" s="24"/>
      <c r="S125" s="24"/>
      <c r="T125" s="24"/>
      <c r="U125" s="24"/>
      <c r="V125" s="24"/>
    </row>
    <row r="126" spans="1:22" ht="20.100000000000001" hidden="1" customHeight="1" thickBot="1" x14ac:dyDescent="0.25">
      <c r="A126" s="28"/>
      <c r="B126" s="24"/>
      <c r="C126" s="24"/>
      <c r="D126" s="24"/>
      <c r="E126" s="18"/>
      <c r="F126" s="19"/>
      <c r="G126" s="20"/>
      <c r="H126" s="19" t="e">
        <v>#DIV/0!</v>
      </c>
      <c r="I126" s="21"/>
      <c r="J126" s="21"/>
      <c r="K126" s="21" t="e">
        <v>#DIV/0!</v>
      </c>
      <c r="L126" s="22"/>
      <c r="M126" s="22"/>
      <c r="N126" s="23" t="e">
        <v>#DIV/0!</v>
      </c>
      <c r="O126" s="23" t="e">
        <v>#DIV/0!</v>
      </c>
      <c r="P126" s="23" t="e">
        <v>#DIV/0!</v>
      </c>
      <c r="Q126" s="23" t="e">
        <v>#DIV/0!</v>
      </c>
      <c r="R126" s="24"/>
      <c r="S126" s="24"/>
      <c r="T126" s="24"/>
      <c r="U126" s="24"/>
      <c r="V126" s="24"/>
    </row>
    <row r="127" spans="1:22" ht="20.100000000000001" hidden="1" customHeight="1" thickBot="1" x14ac:dyDescent="0.25">
      <c r="A127" s="28"/>
      <c r="B127" s="24"/>
      <c r="C127" s="24"/>
      <c r="D127" s="24"/>
      <c r="E127" s="18"/>
      <c r="F127" s="19"/>
      <c r="G127" s="20"/>
      <c r="H127" s="19" t="e">
        <v>#DIV/0!</v>
      </c>
      <c r="I127" s="21"/>
      <c r="J127" s="21"/>
      <c r="K127" s="21" t="e">
        <v>#DIV/0!</v>
      </c>
      <c r="L127" s="22"/>
      <c r="M127" s="22"/>
      <c r="N127" s="23" t="e">
        <v>#DIV/0!</v>
      </c>
      <c r="O127" s="23" t="e">
        <v>#DIV/0!</v>
      </c>
      <c r="P127" s="23" t="e">
        <v>#DIV/0!</v>
      </c>
      <c r="Q127" s="23" t="e">
        <v>#DIV/0!</v>
      </c>
      <c r="R127" s="24"/>
      <c r="S127" s="24"/>
      <c r="T127" s="24"/>
      <c r="U127" s="24"/>
      <c r="V127" s="24"/>
    </row>
    <row r="128" spans="1:22" ht="20.100000000000001" hidden="1" customHeight="1" thickBot="1" x14ac:dyDescent="0.25">
      <c r="A128" s="28"/>
      <c r="B128" s="24"/>
      <c r="C128" s="24"/>
      <c r="D128" s="24"/>
      <c r="E128" s="18"/>
      <c r="F128" s="19"/>
      <c r="G128" s="20"/>
      <c r="H128" s="19" t="e">
        <v>#DIV/0!</v>
      </c>
      <c r="I128" s="21"/>
      <c r="J128" s="21"/>
      <c r="K128" s="21" t="e">
        <v>#DIV/0!</v>
      </c>
      <c r="L128" s="22"/>
      <c r="M128" s="22"/>
      <c r="N128" s="23" t="e">
        <v>#DIV/0!</v>
      </c>
      <c r="O128" s="23" t="e">
        <v>#DIV/0!</v>
      </c>
      <c r="P128" s="23" t="e">
        <v>#DIV/0!</v>
      </c>
      <c r="Q128" s="23" t="e">
        <v>#DIV/0!</v>
      </c>
      <c r="R128" s="24"/>
      <c r="S128" s="24"/>
      <c r="T128" s="24"/>
      <c r="U128" s="24"/>
      <c r="V128" s="24"/>
    </row>
    <row r="129" spans="1:22" ht="15" hidden="1" thickBot="1" x14ac:dyDescent="0.25">
      <c r="A129" s="28"/>
      <c r="B129" s="24"/>
      <c r="C129" s="24"/>
      <c r="D129" s="24"/>
      <c r="E129" s="18"/>
      <c r="F129" s="19"/>
      <c r="G129" s="20"/>
      <c r="H129" s="19" t="e">
        <v>#DIV/0!</v>
      </c>
      <c r="I129" s="21"/>
      <c r="J129" s="21"/>
      <c r="K129" s="21" t="e">
        <v>#DIV/0!</v>
      </c>
      <c r="L129" s="22"/>
      <c r="M129" s="22"/>
      <c r="N129" s="23" t="e">
        <v>#DIV/0!</v>
      </c>
      <c r="O129" s="23" t="e">
        <v>#DIV/0!</v>
      </c>
      <c r="P129" s="23" t="e">
        <v>#DIV/0!</v>
      </c>
      <c r="Q129" s="23" t="e">
        <v>#DIV/0!</v>
      </c>
      <c r="R129" s="24"/>
      <c r="S129" s="24"/>
      <c r="T129" s="24"/>
      <c r="U129" s="24"/>
      <c r="V129" s="24"/>
    </row>
    <row r="130" spans="1:22" ht="15" hidden="1" thickBot="1" x14ac:dyDescent="0.25">
      <c r="A130" s="28"/>
      <c r="B130" s="24"/>
      <c r="C130" s="24"/>
      <c r="D130" s="24"/>
      <c r="E130" s="18"/>
      <c r="F130" s="19"/>
      <c r="G130" s="20"/>
      <c r="H130" s="19" t="e">
        <v>#DIV/0!</v>
      </c>
      <c r="I130" s="21"/>
      <c r="J130" s="21"/>
      <c r="K130" s="21" t="e">
        <v>#DIV/0!</v>
      </c>
      <c r="L130" s="22"/>
      <c r="M130" s="22"/>
      <c r="N130" s="23" t="e">
        <v>#DIV/0!</v>
      </c>
      <c r="O130" s="23" t="e">
        <v>#DIV/0!</v>
      </c>
      <c r="P130" s="23" t="e">
        <v>#DIV/0!</v>
      </c>
      <c r="Q130" s="23" t="e">
        <v>#DIV/0!</v>
      </c>
      <c r="R130" s="24"/>
      <c r="S130" s="24"/>
      <c r="T130" s="24"/>
      <c r="U130" s="24"/>
      <c r="V130" s="24"/>
    </row>
    <row r="131" spans="1:22" ht="15" hidden="1" thickBot="1" x14ac:dyDescent="0.25">
      <c r="A131" s="28"/>
      <c r="B131" s="24"/>
      <c r="C131" s="24"/>
      <c r="D131" s="24"/>
      <c r="E131" s="18"/>
      <c r="F131" s="19"/>
      <c r="G131" s="20"/>
      <c r="H131" s="19" t="e">
        <v>#DIV/0!</v>
      </c>
      <c r="I131" s="21"/>
      <c r="J131" s="21"/>
      <c r="K131" s="21" t="e">
        <v>#DIV/0!</v>
      </c>
      <c r="L131" s="22"/>
      <c r="M131" s="22"/>
      <c r="N131" s="23" t="e">
        <v>#DIV/0!</v>
      </c>
      <c r="O131" s="23" t="e">
        <v>#DIV/0!</v>
      </c>
      <c r="P131" s="23" t="e">
        <v>#DIV/0!</v>
      </c>
      <c r="Q131" s="23" t="e">
        <v>#DIV/0!</v>
      </c>
      <c r="R131" s="24"/>
      <c r="S131" s="24"/>
      <c r="T131" s="24"/>
      <c r="U131" s="24"/>
      <c r="V131" s="24"/>
    </row>
    <row r="132" spans="1:22" ht="15" hidden="1" thickBot="1" x14ac:dyDescent="0.25">
      <c r="A132" s="28"/>
      <c r="B132" s="24"/>
      <c r="C132" s="24"/>
      <c r="D132" s="24"/>
      <c r="E132" s="18"/>
      <c r="F132" s="19"/>
      <c r="G132" s="20"/>
      <c r="H132" s="19" t="e">
        <v>#DIV/0!</v>
      </c>
      <c r="I132" s="21"/>
      <c r="J132" s="21"/>
      <c r="K132" s="21" t="e">
        <v>#DIV/0!</v>
      </c>
      <c r="L132" s="22"/>
      <c r="M132" s="22"/>
      <c r="N132" s="23" t="e">
        <v>#DIV/0!</v>
      </c>
      <c r="O132" s="23" t="e">
        <v>#DIV/0!</v>
      </c>
      <c r="P132" s="23" t="e">
        <v>#DIV/0!</v>
      </c>
      <c r="Q132" s="23" t="e">
        <v>#DIV/0!</v>
      </c>
      <c r="R132" s="24"/>
      <c r="S132" s="24"/>
      <c r="T132" s="24"/>
      <c r="U132" s="24"/>
      <c r="V132" s="24"/>
    </row>
    <row r="133" spans="1:22" ht="15" hidden="1" thickBot="1" x14ac:dyDescent="0.25">
      <c r="A133" s="28"/>
      <c r="B133" s="24"/>
      <c r="C133" s="24"/>
      <c r="D133" s="24"/>
      <c r="E133" s="18"/>
      <c r="F133" s="19"/>
      <c r="G133" s="20"/>
      <c r="H133" s="19" t="e">
        <v>#DIV/0!</v>
      </c>
      <c r="I133" s="21"/>
      <c r="J133" s="21"/>
      <c r="K133" s="21" t="e">
        <v>#DIV/0!</v>
      </c>
      <c r="L133" s="22"/>
      <c r="M133" s="22"/>
      <c r="N133" s="23" t="e">
        <v>#DIV/0!</v>
      </c>
      <c r="O133" s="23" t="e">
        <v>#DIV/0!</v>
      </c>
      <c r="P133" s="23" t="e">
        <v>#DIV/0!</v>
      </c>
      <c r="Q133" s="23" t="e">
        <v>#DIV/0!</v>
      </c>
      <c r="R133" s="24"/>
      <c r="S133" s="24"/>
      <c r="T133" s="24"/>
      <c r="U133" s="24"/>
      <c r="V133" s="24"/>
    </row>
    <row r="134" spans="1:22" ht="15" hidden="1" thickBot="1" x14ac:dyDescent="0.25">
      <c r="A134" s="28"/>
      <c r="B134" s="24"/>
      <c r="C134" s="24"/>
      <c r="D134" s="24"/>
      <c r="E134" s="18"/>
      <c r="F134" s="19"/>
      <c r="G134" s="20"/>
      <c r="H134" s="19" t="e">
        <v>#DIV/0!</v>
      </c>
      <c r="I134" s="21"/>
      <c r="J134" s="21"/>
      <c r="K134" s="21" t="e">
        <v>#DIV/0!</v>
      </c>
      <c r="L134" s="22"/>
      <c r="M134" s="22"/>
      <c r="N134" s="23" t="e">
        <v>#DIV/0!</v>
      </c>
      <c r="O134" s="23" t="e">
        <v>#DIV/0!</v>
      </c>
      <c r="P134" s="23" t="e">
        <v>#DIV/0!</v>
      </c>
      <c r="Q134" s="23" t="e">
        <v>#DIV/0!</v>
      </c>
      <c r="R134" s="24"/>
      <c r="S134" s="24"/>
      <c r="T134" s="24"/>
      <c r="U134" s="24"/>
      <c r="V134" s="24"/>
    </row>
    <row r="135" spans="1:22" ht="15" hidden="1" thickBot="1" x14ac:dyDescent="0.25">
      <c r="A135" s="28"/>
      <c r="B135" s="24"/>
      <c r="C135" s="24"/>
      <c r="D135" s="24"/>
      <c r="E135" s="18"/>
      <c r="F135" s="19"/>
      <c r="G135" s="20"/>
      <c r="H135" s="19" t="e">
        <v>#DIV/0!</v>
      </c>
      <c r="I135" s="21"/>
      <c r="J135" s="21"/>
      <c r="K135" s="21" t="e">
        <v>#DIV/0!</v>
      </c>
      <c r="L135" s="22"/>
      <c r="M135" s="22"/>
      <c r="N135" s="23" t="e">
        <v>#DIV/0!</v>
      </c>
      <c r="O135" s="23" t="e">
        <v>#DIV/0!</v>
      </c>
      <c r="P135" s="23" t="e">
        <v>#DIV/0!</v>
      </c>
      <c r="Q135" s="23" t="e">
        <v>#DIV/0!</v>
      </c>
      <c r="R135" s="24"/>
      <c r="S135" s="24"/>
      <c r="T135" s="24"/>
      <c r="U135" s="24"/>
      <c r="V135" s="24"/>
    </row>
    <row r="136" spans="1:22" ht="15" hidden="1" thickBot="1" x14ac:dyDescent="0.25">
      <c r="A136" s="28"/>
      <c r="B136" s="24"/>
      <c r="C136" s="24"/>
      <c r="D136" s="24"/>
      <c r="E136" s="18"/>
      <c r="F136" s="19"/>
      <c r="G136" s="20"/>
      <c r="H136" s="19" t="e">
        <v>#DIV/0!</v>
      </c>
      <c r="I136" s="21"/>
      <c r="J136" s="21"/>
      <c r="K136" s="21" t="e">
        <v>#DIV/0!</v>
      </c>
      <c r="L136" s="22"/>
      <c r="M136" s="22"/>
      <c r="N136" s="23" t="e">
        <v>#DIV/0!</v>
      </c>
      <c r="O136" s="23" t="e">
        <v>#DIV/0!</v>
      </c>
      <c r="P136" s="23" t="e">
        <v>#DIV/0!</v>
      </c>
      <c r="Q136" s="23" t="e">
        <v>#DIV/0!</v>
      </c>
      <c r="R136" s="24"/>
      <c r="S136" s="24"/>
      <c r="T136" s="24"/>
      <c r="U136" s="24"/>
      <c r="V136" s="24"/>
    </row>
    <row r="137" spans="1:22" ht="15" hidden="1" thickBot="1" x14ac:dyDescent="0.25">
      <c r="A137" s="28"/>
      <c r="B137" s="24"/>
      <c r="C137" s="24"/>
      <c r="D137" s="24"/>
      <c r="E137" s="18"/>
      <c r="F137" s="19"/>
      <c r="G137" s="20"/>
      <c r="H137" s="19" t="e">
        <v>#DIV/0!</v>
      </c>
      <c r="I137" s="21"/>
      <c r="J137" s="21"/>
      <c r="K137" s="21" t="e">
        <v>#DIV/0!</v>
      </c>
      <c r="L137" s="22"/>
      <c r="M137" s="22"/>
      <c r="N137" s="23" t="e">
        <v>#DIV/0!</v>
      </c>
      <c r="O137" s="23" t="e">
        <v>#DIV/0!</v>
      </c>
      <c r="P137" s="23" t="e">
        <v>#DIV/0!</v>
      </c>
      <c r="Q137" s="23" t="e">
        <v>#DIV/0!</v>
      </c>
      <c r="R137" s="24"/>
      <c r="S137" s="24"/>
      <c r="T137" s="24"/>
      <c r="U137" s="24"/>
      <c r="V137" s="24"/>
    </row>
    <row r="138" spans="1:22" ht="15" hidden="1" thickBot="1" x14ac:dyDescent="0.25">
      <c r="A138" s="28"/>
      <c r="B138" s="24"/>
      <c r="C138" s="24"/>
      <c r="D138" s="24"/>
      <c r="E138" s="18"/>
      <c r="F138" s="19"/>
      <c r="G138" s="20"/>
      <c r="H138" s="19" t="e">
        <v>#DIV/0!</v>
      </c>
      <c r="I138" s="21"/>
      <c r="J138" s="21"/>
      <c r="K138" s="21" t="e">
        <v>#DIV/0!</v>
      </c>
      <c r="L138" s="22"/>
      <c r="M138" s="22"/>
      <c r="N138" s="23" t="e">
        <v>#DIV/0!</v>
      </c>
      <c r="O138" s="23" t="e">
        <v>#DIV/0!</v>
      </c>
      <c r="P138" s="23" t="e">
        <v>#DIV/0!</v>
      </c>
      <c r="Q138" s="23" t="e">
        <v>#DIV/0!</v>
      </c>
      <c r="R138" s="24"/>
      <c r="S138" s="24"/>
      <c r="T138" s="24"/>
      <c r="U138" s="24"/>
      <c r="V138" s="24"/>
    </row>
    <row r="139" spans="1:22" ht="15" hidden="1" thickBot="1" x14ac:dyDescent="0.25">
      <c r="A139" s="28"/>
      <c r="B139" s="24"/>
      <c r="C139" s="24"/>
      <c r="D139" s="24"/>
      <c r="E139" s="18"/>
      <c r="F139" s="19"/>
      <c r="G139" s="20"/>
      <c r="H139" s="19" t="e">
        <v>#DIV/0!</v>
      </c>
      <c r="I139" s="21"/>
      <c r="J139" s="21"/>
      <c r="K139" s="21" t="e">
        <v>#DIV/0!</v>
      </c>
      <c r="L139" s="22"/>
      <c r="M139" s="22"/>
      <c r="N139" s="23" t="e">
        <v>#DIV/0!</v>
      </c>
      <c r="O139" s="23" t="e">
        <v>#DIV/0!</v>
      </c>
      <c r="P139" s="23" t="e">
        <v>#DIV/0!</v>
      </c>
      <c r="Q139" s="23" t="e">
        <v>#DIV/0!</v>
      </c>
      <c r="R139" s="24"/>
      <c r="S139" s="24"/>
      <c r="T139" s="24"/>
      <c r="U139" s="24"/>
      <c r="V139" s="24"/>
    </row>
    <row r="140" spans="1:22" ht="15" hidden="1" thickBot="1" x14ac:dyDescent="0.25">
      <c r="A140" s="28"/>
      <c r="B140" s="24"/>
      <c r="C140" s="24"/>
      <c r="D140" s="24"/>
      <c r="E140" s="18"/>
      <c r="F140" s="19"/>
      <c r="G140" s="20"/>
      <c r="H140" s="19" t="e">
        <v>#DIV/0!</v>
      </c>
      <c r="I140" s="21"/>
      <c r="J140" s="21"/>
      <c r="K140" s="21" t="e">
        <v>#DIV/0!</v>
      </c>
      <c r="L140" s="22"/>
      <c r="M140" s="22"/>
      <c r="N140" s="23" t="e">
        <v>#DIV/0!</v>
      </c>
      <c r="O140" s="23" t="e">
        <v>#DIV/0!</v>
      </c>
      <c r="P140" s="23" t="e">
        <v>#DIV/0!</v>
      </c>
      <c r="Q140" s="23" t="e">
        <v>#DIV/0!</v>
      </c>
      <c r="R140" s="24"/>
      <c r="S140" s="24"/>
      <c r="T140" s="24"/>
      <c r="U140" s="24"/>
      <c r="V140" s="24"/>
    </row>
  </sheetData>
  <autoFilter ref="A1:V140" xr:uid="{C7755CD0-8B73-4BA5-82B8-741AACEA3948}">
    <filterColumn colId="3">
      <filters>
        <filter val="Avafast / Millimed"/>
      </filters>
    </filterColumn>
  </autoFilter>
  <mergeCells count="3">
    <mergeCell ref="A40:A41"/>
    <mergeCell ref="A46:A47"/>
    <mergeCell ref="A50:A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E91F-A45E-4010-9E5C-99F30A90ABC9}">
  <sheetPr>
    <tabColor rgb="FFE575D5"/>
  </sheetPr>
  <dimension ref="B1:G225"/>
  <sheetViews>
    <sheetView topLeftCell="A91" workbookViewId="0">
      <selection activeCell="B125" sqref="B125"/>
    </sheetView>
  </sheetViews>
  <sheetFormatPr defaultRowHeight="14.25" x14ac:dyDescent="0.2"/>
  <cols>
    <col min="2" max="2" width="45.75" customWidth="1"/>
    <col min="4" max="4" width="13" style="40" customWidth="1"/>
    <col min="5" max="5" width="16.375" style="40" customWidth="1"/>
    <col min="6" max="6" width="13.5" customWidth="1"/>
  </cols>
  <sheetData>
    <row r="1" spans="2:6" x14ac:dyDescent="0.2">
      <c r="B1" s="42">
        <v>244210</v>
      </c>
    </row>
    <row r="2" spans="2:6" x14ac:dyDescent="0.2">
      <c r="B2" t="s">
        <v>246</v>
      </c>
      <c r="D2" s="40" t="s">
        <v>44</v>
      </c>
      <c r="E2" s="40" t="s">
        <v>39</v>
      </c>
      <c r="F2" t="s">
        <v>247</v>
      </c>
    </row>
    <row r="3" spans="2:6" x14ac:dyDescent="0.2">
      <c r="B3" t="s">
        <v>248</v>
      </c>
      <c r="D3" s="40" t="s">
        <v>249</v>
      </c>
      <c r="E3" s="40" t="s">
        <v>250</v>
      </c>
      <c r="F3" t="s">
        <v>251</v>
      </c>
    </row>
    <row r="4" spans="2:6" x14ac:dyDescent="0.2">
      <c r="B4" t="s">
        <v>252</v>
      </c>
      <c r="D4" s="40" t="s">
        <v>253</v>
      </c>
      <c r="E4" s="40">
        <v>16</v>
      </c>
      <c r="F4">
        <v>48</v>
      </c>
    </row>
    <row r="5" spans="2:6" x14ac:dyDescent="0.2">
      <c r="B5" t="s">
        <v>254</v>
      </c>
      <c r="D5" s="40" t="s">
        <v>253</v>
      </c>
      <c r="E5" s="40">
        <v>16</v>
      </c>
      <c r="F5">
        <v>48</v>
      </c>
    </row>
    <row r="6" spans="2:6" x14ac:dyDescent="0.2">
      <c r="B6" t="s">
        <v>255</v>
      </c>
      <c r="D6" s="40" t="s">
        <v>256</v>
      </c>
      <c r="E6" s="40">
        <v>16.8</v>
      </c>
      <c r="F6">
        <v>336</v>
      </c>
    </row>
    <row r="7" spans="2:6" x14ac:dyDescent="0.2">
      <c r="B7" t="s">
        <v>257</v>
      </c>
      <c r="D7" s="40" t="s">
        <v>258</v>
      </c>
      <c r="E7" s="40">
        <v>35</v>
      </c>
      <c r="F7">
        <v>140</v>
      </c>
    </row>
    <row r="8" spans="2:6" x14ac:dyDescent="0.2">
      <c r="B8" t="s">
        <v>259</v>
      </c>
      <c r="D8" s="40" t="s">
        <v>260</v>
      </c>
      <c r="E8" s="40">
        <v>151</v>
      </c>
      <c r="F8">
        <v>151</v>
      </c>
    </row>
    <row r="9" spans="2:6" x14ac:dyDescent="0.2">
      <c r="B9" t="s">
        <v>261</v>
      </c>
      <c r="D9" s="40" t="s">
        <v>262</v>
      </c>
      <c r="E9" s="40">
        <v>65</v>
      </c>
      <c r="F9">
        <v>65</v>
      </c>
    </row>
    <row r="10" spans="2:6" x14ac:dyDescent="0.2">
      <c r="B10" t="s">
        <v>263</v>
      </c>
      <c r="D10" s="40" t="s">
        <v>264</v>
      </c>
      <c r="E10" s="40">
        <v>48</v>
      </c>
      <c r="F10">
        <v>144</v>
      </c>
    </row>
    <row r="11" spans="2:6" x14ac:dyDescent="0.2">
      <c r="B11" t="s">
        <v>265</v>
      </c>
      <c r="D11" s="40" t="s">
        <v>266</v>
      </c>
      <c r="E11" s="40">
        <v>23</v>
      </c>
      <c r="F11">
        <v>69</v>
      </c>
    </row>
    <row r="12" spans="2:6" x14ac:dyDescent="0.2">
      <c r="B12" t="s">
        <v>267</v>
      </c>
      <c r="D12" s="40" t="s">
        <v>268</v>
      </c>
      <c r="E12" s="40">
        <v>9</v>
      </c>
      <c r="F12">
        <v>225</v>
      </c>
    </row>
    <row r="13" spans="2:6" x14ac:dyDescent="0.2">
      <c r="B13" t="s">
        <v>269</v>
      </c>
      <c r="D13" s="40" t="s">
        <v>270</v>
      </c>
      <c r="E13" s="40">
        <v>3.5</v>
      </c>
      <c r="F13">
        <v>70</v>
      </c>
    </row>
    <row r="14" spans="2:6" x14ac:dyDescent="0.2">
      <c r="B14" t="s">
        <v>271</v>
      </c>
      <c r="D14" s="40" t="s">
        <v>262</v>
      </c>
      <c r="E14" s="40">
        <v>300</v>
      </c>
      <c r="F14">
        <v>300</v>
      </c>
    </row>
    <row r="15" spans="2:6" x14ac:dyDescent="0.2">
      <c r="B15" t="s">
        <v>272</v>
      </c>
      <c r="D15" s="40" t="s">
        <v>273</v>
      </c>
      <c r="E15" s="40">
        <v>35</v>
      </c>
      <c r="F15">
        <v>35</v>
      </c>
    </row>
    <row r="16" spans="2:6" x14ac:dyDescent="0.2">
      <c r="B16" t="s">
        <v>274</v>
      </c>
      <c r="D16" s="40" t="s">
        <v>275</v>
      </c>
      <c r="E16" s="40">
        <v>31</v>
      </c>
      <c r="F16">
        <v>155</v>
      </c>
    </row>
    <row r="19" spans="2:6" x14ac:dyDescent="0.2">
      <c r="B19" s="42">
        <v>244210</v>
      </c>
    </row>
    <row r="20" spans="2:6" x14ac:dyDescent="0.2">
      <c r="B20" t="s">
        <v>276</v>
      </c>
      <c r="D20" s="40" t="s">
        <v>277</v>
      </c>
      <c r="E20" s="40" t="s">
        <v>278</v>
      </c>
      <c r="F20" t="s">
        <v>247</v>
      </c>
    </row>
    <row r="21" spans="2:6" x14ac:dyDescent="0.2">
      <c r="B21" t="s">
        <v>279</v>
      </c>
      <c r="D21" s="40" t="s">
        <v>280</v>
      </c>
      <c r="E21" s="40">
        <v>251.5</v>
      </c>
      <c r="F21">
        <v>251.5</v>
      </c>
    </row>
    <row r="22" spans="2:6" x14ac:dyDescent="0.2">
      <c r="B22" t="s">
        <v>281</v>
      </c>
      <c r="D22" s="40" t="s">
        <v>282</v>
      </c>
      <c r="E22" s="40">
        <v>112</v>
      </c>
      <c r="F22">
        <v>224</v>
      </c>
    </row>
    <row r="23" spans="2:6" x14ac:dyDescent="0.2">
      <c r="B23" t="s">
        <v>283</v>
      </c>
      <c r="D23" s="40" t="s">
        <v>280</v>
      </c>
      <c r="E23" s="40">
        <v>113</v>
      </c>
      <c r="F23">
        <v>143</v>
      </c>
    </row>
    <row r="24" spans="2:6" x14ac:dyDescent="0.2">
      <c r="B24" t="s">
        <v>284</v>
      </c>
      <c r="D24" s="40" t="s">
        <v>282</v>
      </c>
      <c r="E24" s="40">
        <v>74</v>
      </c>
      <c r="F24">
        <v>148</v>
      </c>
    </row>
    <row r="25" spans="2:6" x14ac:dyDescent="0.2">
      <c r="B25" t="s">
        <v>285</v>
      </c>
      <c r="D25" s="40" t="s">
        <v>286</v>
      </c>
      <c r="E25" s="40">
        <v>12.5</v>
      </c>
      <c r="F25">
        <v>37.5</v>
      </c>
    </row>
    <row r="26" spans="2:6" x14ac:dyDescent="0.2">
      <c r="B26" t="s">
        <v>287</v>
      </c>
      <c r="D26" s="40" t="s">
        <v>288</v>
      </c>
      <c r="E26" s="40">
        <v>9</v>
      </c>
      <c r="F26">
        <v>180</v>
      </c>
    </row>
    <row r="27" spans="2:6" x14ac:dyDescent="0.2">
      <c r="B27" t="s">
        <v>289</v>
      </c>
      <c r="D27" s="40" t="s">
        <v>290</v>
      </c>
      <c r="E27" s="40">
        <v>26</v>
      </c>
      <c r="F27">
        <v>78</v>
      </c>
    </row>
    <row r="28" spans="2:6" x14ac:dyDescent="0.2">
      <c r="B28" t="s">
        <v>291</v>
      </c>
      <c r="D28" s="40" t="s">
        <v>292</v>
      </c>
      <c r="E28" s="40">
        <v>39</v>
      </c>
      <c r="F28">
        <v>78</v>
      </c>
    </row>
    <row r="31" spans="2:6" x14ac:dyDescent="0.2">
      <c r="B31" s="42">
        <v>244210</v>
      </c>
    </row>
    <row r="32" spans="2:6" x14ac:dyDescent="0.2">
      <c r="B32" t="s">
        <v>276</v>
      </c>
      <c r="D32" s="40" t="s">
        <v>277</v>
      </c>
      <c r="E32" s="40" t="s">
        <v>293</v>
      </c>
      <c r="F32" t="s">
        <v>247</v>
      </c>
    </row>
    <row r="33" spans="2:6" x14ac:dyDescent="0.2">
      <c r="B33" t="s">
        <v>294</v>
      </c>
      <c r="D33" s="40" t="s">
        <v>295</v>
      </c>
      <c r="E33" s="40">
        <v>102</v>
      </c>
      <c r="F33">
        <v>204</v>
      </c>
    </row>
    <row r="34" spans="2:6" x14ac:dyDescent="0.2">
      <c r="B34" t="s">
        <v>296</v>
      </c>
      <c r="D34" s="40" t="s">
        <v>290</v>
      </c>
      <c r="E34" s="40">
        <v>62</v>
      </c>
      <c r="F34">
        <v>186</v>
      </c>
    </row>
    <row r="35" spans="2:6" x14ac:dyDescent="0.2">
      <c r="B35" t="s">
        <v>297</v>
      </c>
      <c r="D35" s="40" t="s">
        <v>298</v>
      </c>
      <c r="E35" s="40">
        <v>19.75</v>
      </c>
      <c r="F35">
        <v>39.5</v>
      </c>
    </row>
    <row r="36" spans="2:6" x14ac:dyDescent="0.2">
      <c r="B36" t="s">
        <v>299</v>
      </c>
      <c r="D36" s="40" t="s">
        <v>286</v>
      </c>
      <c r="E36" s="40">
        <v>18</v>
      </c>
      <c r="F36">
        <v>54</v>
      </c>
    </row>
    <row r="37" spans="2:6" x14ac:dyDescent="0.2">
      <c r="B37" t="s">
        <v>300</v>
      </c>
      <c r="D37" s="40" t="s">
        <v>301</v>
      </c>
      <c r="E37" s="40">
        <v>162</v>
      </c>
      <c r="F37">
        <v>324</v>
      </c>
    </row>
    <row r="38" spans="2:6" x14ac:dyDescent="0.2">
      <c r="B38" t="s">
        <v>302</v>
      </c>
      <c r="D38" s="40" t="s">
        <v>303</v>
      </c>
      <c r="E38" s="40">
        <v>7</v>
      </c>
      <c r="F38">
        <v>70</v>
      </c>
    </row>
    <row r="39" spans="2:6" x14ac:dyDescent="0.2">
      <c r="B39" t="s">
        <v>304</v>
      </c>
      <c r="D39" s="40" t="s">
        <v>303</v>
      </c>
      <c r="E39" s="40">
        <v>5</v>
      </c>
      <c r="F39">
        <v>50</v>
      </c>
    </row>
    <row r="40" spans="2:6" x14ac:dyDescent="0.2">
      <c r="B40" t="s">
        <v>305</v>
      </c>
      <c r="D40" s="40" t="s">
        <v>286</v>
      </c>
      <c r="E40" s="40">
        <v>13.75</v>
      </c>
      <c r="F40">
        <v>41.25</v>
      </c>
    </row>
    <row r="41" spans="2:6" x14ac:dyDescent="0.2">
      <c r="B41" t="s">
        <v>306</v>
      </c>
      <c r="D41" s="40" t="s">
        <v>307</v>
      </c>
      <c r="E41" s="40">
        <v>31.75</v>
      </c>
      <c r="F41">
        <v>158.75</v>
      </c>
    </row>
    <row r="42" spans="2:6" x14ac:dyDescent="0.2">
      <c r="B42" t="s">
        <v>308</v>
      </c>
      <c r="D42" s="40" t="s">
        <v>309</v>
      </c>
      <c r="E42" s="40">
        <v>15.75</v>
      </c>
      <c r="F42">
        <v>63</v>
      </c>
    </row>
    <row r="43" spans="2:6" x14ac:dyDescent="0.2">
      <c r="B43" t="s">
        <v>310</v>
      </c>
      <c r="D43" s="40" t="s">
        <v>286</v>
      </c>
      <c r="E43" s="40">
        <v>18</v>
      </c>
      <c r="F43">
        <v>54</v>
      </c>
    </row>
    <row r="44" spans="2:6" x14ac:dyDescent="0.2">
      <c r="B44" t="s">
        <v>311</v>
      </c>
      <c r="D44" s="40" t="s">
        <v>312</v>
      </c>
      <c r="E44" s="40">
        <v>380</v>
      </c>
      <c r="F44">
        <v>380</v>
      </c>
    </row>
    <row r="45" spans="2:6" x14ac:dyDescent="0.2">
      <c r="B45" t="s">
        <v>313</v>
      </c>
      <c r="D45" s="40" t="s">
        <v>290</v>
      </c>
      <c r="E45" s="40">
        <v>97</v>
      </c>
      <c r="F45">
        <v>291</v>
      </c>
    </row>
    <row r="46" spans="2:6" x14ac:dyDescent="0.2">
      <c r="B46" t="s">
        <v>314</v>
      </c>
      <c r="D46" s="40" t="s">
        <v>298</v>
      </c>
      <c r="E46" s="40">
        <v>52</v>
      </c>
      <c r="F46">
        <v>104</v>
      </c>
    </row>
    <row r="47" spans="2:6" x14ac:dyDescent="0.2">
      <c r="B47" t="s">
        <v>315</v>
      </c>
      <c r="D47" s="40" t="s">
        <v>316</v>
      </c>
      <c r="E47" s="40">
        <v>122</v>
      </c>
      <c r="F47">
        <v>122</v>
      </c>
    </row>
    <row r="48" spans="2:6" x14ac:dyDescent="0.2">
      <c r="B48" t="s">
        <v>317</v>
      </c>
      <c r="D48" s="40" t="s">
        <v>318</v>
      </c>
      <c r="E48" s="40">
        <v>2.5</v>
      </c>
      <c r="F48">
        <v>50</v>
      </c>
    </row>
    <row r="49" spans="2:6" x14ac:dyDescent="0.2">
      <c r="B49" t="s">
        <v>319</v>
      </c>
      <c r="D49" s="40" t="s">
        <v>320</v>
      </c>
      <c r="E49" s="40">
        <v>200</v>
      </c>
      <c r="F49">
        <v>200</v>
      </c>
    </row>
    <row r="50" spans="2:6" x14ac:dyDescent="0.2">
      <c r="B50" t="s">
        <v>321</v>
      </c>
      <c r="D50" s="40" t="s">
        <v>322</v>
      </c>
      <c r="E50" s="40">
        <v>44</v>
      </c>
      <c r="F50">
        <v>440</v>
      </c>
    </row>
    <row r="51" spans="2:6" x14ac:dyDescent="0.2">
      <c r="B51" t="s">
        <v>323</v>
      </c>
      <c r="D51" s="40" t="s">
        <v>312</v>
      </c>
      <c r="E51" s="40">
        <v>375</v>
      </c>
      <c r="F51">
        <v>375</v>
      </c>
    </row>
    <row r="52" spans="2:6" x14ac:dyDescent="0.2">
      <c r="B52" t="s">
        <v>324</v>
      </c>
      <c r="D52" s="40" t="s">
        <v>286</v>
      </c>
      <c r="E52" s="40">
        <v>128.75</v>
      </c>
      <c r="F52">
        <v>386.25</v>
      </c>
    </row>
    <row r="53" spans="2:6" x14ac:dyDescent="0.2">
      <c r="B53" t="s">
        <v>325</v>
      </c>
      <c r="D53" s="40" t="s">
        <v>312</v>
      </c>
      <c r="E53" s="40">
        <v>183</v>
      </c>
      <c r="F53">
        <v>183</v>
      </c>
    </row>
    <row r="54" spans="2:6" x14ac:dyDescent="0.2">
      <c r="B54" t="s">
        <v>326</v>
      </c>
      <c r="D54" s="40" t="s">
        <v>320</v>
      </c>
      <c r="E54" s="40">
        <v>265</v>
      </c>
      <c r="F54">
        <v>265</v>
      </c>
    </row>
    <row r="55" spans="2:6" x14ac:dyDescent="0.2">
      <c r="B55" t="s">
        <v>327</v>
      </c>
      <c r="D55" s="40" t="s">
        <v>322</v>
      </c>
      <c r="E55" s="40">
        <v>32.25</v>
      </c>
      <c r="F55" s="43" t="s">
        <v>328</v>
      </c>
    </row>
    <row r="57" spans="2:6" x14ac:dyDescent="0.2">
      <c r="B57" s="42">
        <v>244221</v>
      </c>
    </row>
    <row r="59" spans="2:6" x14ac:dyDescent="0.2">
      <c r="B59" t="s">
        <v>276</v>
      </c>
      <c r="D59" s="40" t="s">
        <v>277</v>
      </c>
      <c r="E59" s="40" t="s">
        <v>329</v>
      </c>
      <c r="F59" t="s">
        <v>247</v>
      </c>
    </row>
    <row r="60" spans="2:6" x14ac:dyDescent="0.2">
      <c r="B60" t="s">
        <v>330</v>
      </c>
      <c r="D60" s="40" t="s">
        <v>320</v>
      </c>
      <c r="E60" s="40">
        <v>230</v>
      </c>
      <c r="F60">
        <v>230</v>
      </c>
    </row>
    <row r="61" spans="2:6" x14ac:dyDescent="0.2">
      <c r="B61" t="s">
        <v>331</v>
      </c>
      <c r="D61" s="40" t="s">
        <v>320</v>
      </c>
      <c r="E61" s="40">
        <v>15.5</v>
      </c>
      <c r="F61">
        <v>15.5</v>
      </c>
    </row>
    <row r="62" spans="2:6" x14ac:dyDescent="0.2">
      <c r="B62" t="s">
        <v>332</v>
      </c>
      <c r="D62" s="40" t="s">
        <v>286</v>
      </c>
      <c r="E62" s="40">
        <v>26</v>
      </c>
      <c r="F62">
        <v>78</v>
      </c>
    </row>
    <row r="63" spans="2:6" x14ac:dyDescent="0.2">
      <c r="B63" t="s">
        <v>333</v>
      </c>
      <c r="D63" s="40" t="s">
        <v>334</v>
      </c>
      <c r="E63" s="40">
        <v>8</v>
      </c>
      <c r="F63">
        <v>24</v>
      </c>
    </row>
    <row r="64" spans="2:6" x14ac:dyDescent="0.2">
      <c r="B64" t="s">
        <v>335</v>
      </c>
      <c r="D64" s="40" t="s">
        <v>286</v>
      </c>
      <c r="E64" s="40">
        <v>24</v>
      </c>
      <c r="F64">
        <v>72</v>
      </c>
    </row>
    <row r="65" spans="2:6" x14ac:dyDescent="0.2">
      <c r="B65" t="s">
        <v>336</v>
      </c>
      <c r="D65" s="40" t="s">
        <v>337</v>
      </c>
      <c r="E65" s="40">
        <v>39</v>
      </c>
      <c r="F65">
        <v>78</v>
      </c>
    </row>
    <row r="67" spans="2:6" x14ac:dyDescent="0.2">
      <c r="B67" s="42">
        <v>244221</v>
      </c>
    </row>
    <row r="68" spans="2:6" x14ac:dyDescent="0.2">
      <c r="B68" t="s">
        <v>276</v>
      </c>
      <c r="D68" s="40" t="s">
        <v>277</v>
      </c>
      <c r="E68" s="40" t="s">
        <v>329</v>
      </c>
      <c r="F68" t="s">
        <v>247</v>
      </c>
    </row>
    <row r="69" spans="2:6" x14ac:dyDescent="0.2">
      <c r="B69" t="s">
        <v>338</v>
      </c>
      <c r="D69" s="40" t="s">
        <v>339</v>
      </c>
      <c r="E69" s="40">
        <v>61</v>
      </c>
      <c r="F69">
        <v>61</v>
      </c>
    </row>
    <row r="71" spans="2:6" x14ac:dyDescent="0.2">
      <c r="B71" s="42">
        <v>244232</v>
      </c>
    </row>
    <row r="72" spans="2:6" x14ac:dyDescent="0.2">
      <c r="B72" t="s">
        <v>276</v>
      </c>
      <c r="D72" s="40" t="s">
        <v>277</v>
      </c>
      <c r="E72" s="40" t="s">
        <v>278</v>
      </c>
      <c r="F72" t="s">
        <v>247</v>
      </c>
    </row>
    <row r="73" spans="2:6" x14ac:dyDescent="0.2">
      <c r="B73" t="s">
        <v>340</v>
      </c>
      <c r="D73" s="40" t="s">
        <v>312</v>
      </c>
      <c r="E73" s="40">
        <v>595</v>
      </c>
      <c r="F73">
        <v>595</v>
      </c>
    </row>
    <row r="74" spans="2:6" x14ac:dyDescent="0.2">
      <c r="B74" t="s">
        <v>341</v>
      </c>
      <c r="D74" s="40" t="s">
        <v>307</v>
      </c>
      <c r="E74" s="40">
        <v>25.25</v>
      </c>
      <c r="F74">
        <v>126.25</v>
      </c>
    </row>
    <row r="75" spans="2:6" x14ac:dyDescent="0.2">
      <c r="B75" t="s">
        <v>342</v>
      </c>
      <c r="D75" s="40" t="s">
        <v>303</v>
      </c>
      <c r="E75" s="40">
        <v>11</v>
      </c>
      <c r="F75">
        <v>110</v>
      </c>
    </row>
    <row r="76" spans="2:6" x14ac:dyDescent="0.2">
      <c r="B76" t="s">
        <v>343</v>
      </c>
      <c r="D76" s="40" t="s">
        <v>307</v>
      </c>
      <c r="E76" s="40">
        <v>15</v>
      </c>
      <c r="F76">
        <v>75</v>
      </c>
    </row>
    <row r="77" spans="2:6" x14ac:dyDescent="0.2">
      <c r="B77" t="s">
        <v>344</v>
      </c>
      <c r="D77" s="40" t="s">
        <v>307</v>
      </c>
      <c r="E77" s="40">
        <v>13.75</v>
      </c>
      <c r="F77">
        <v>68.75</v>
      </c>
    </row>
    <row r="78" spans="2:6" x14ac:dyDescent="0.2">
      <c r="B78" t="s">
        <v>345</v>
      </c>
      <c r="D78" s="40" t="s">
        <v>307</v>
      </c>
      <c r="E78" s="40">
        <v>17</v>
      </c>
      <c r="F78">
        <v>85</v>
      </c>
    </row>
    <row r="79" spans="2:6" x14ac:dyDescent="0.2">
      <c r="B79" t="s">
        <v>346</v>
      </c>
      <c r="D79" s="40" t="s">
        <v>312</v>
      </c>
      <c r="E79" s="40">
        <v>88.5</v>
      </c>
      <c r="F79">
        <v>88.5</v>
      </c>
    </row>
    <row r="80" spans="2:6" x14ac:dyDescent="0.2">
      <c r="B80" t="s">
        <v>347</v>
      </c>
      <c r="D80" s="40" t="s">
        <v>312</v>
      </c>
      <c r="E80" s="40">
        <v>447</v>
      </c>
      <c r="F80">
        <v>447</v>
      </c>
    </row>
    <row r="81" spans="2:6" x14ac:dyDescent="0.2">
      <c r="B81" t="s">
        <v>348</v>
      </c>
      <c r="D81" s="40" t="s">
        <v>312</v>
      </c>
      <c r="E81" s="40">
        <v>167</v>
      </c>
      <c r="F81">
        <v>167</v>
      </c>
    </row>
    <row r="82" spans="2:6" x14ac:dyDescent="0.2">
      <c r="B82" t="s">
        <v>349</v>
      </c>
      <c r="D82" s="40" t="s">
        <v>350</v>
      </c>
      <c r="E82" s="40">
        <v>26</v>
      </c>
      <c r="F82">
        <v>130</v>
      </c>
    </row>
    <row r="84" spans="2:6" x14ac:dyDescent="0.2">
      <c r="B84" s="42">
        <v>244245</v>
      </c>
    </row>
    <row r="86" spans="2:6" x14ac:dyDescent="0.2">
      <c r="B86" t="s">
        <v>351</v>
      </c>
      <c r="D86" s="40" t="s">
        <v>352</v>
      </c>
      <c r="E86" s="40" t="s">
        <v>277</v>
      </c>
      <c r="F86" t="s">
        <v>247</v>
      </c>
    </row>
    <row r="87" spans="2:6" x14ac:dyDescent="0.2">
      <c r="B87" t="s">
        <v>353</v>
      </c>
      <c r="D87" s="40">
        <v>48</v>
      </c>
      <c r="E87" s="40" t="s">
        <v>354</v>
      </c>
      <c r="F87">
        <v>96</v>
      </c>
    </row>
    <row r="88" spans="2:6" x14ac:dyDescent="0.2">
      <c r="B88" t="s">
        <v>355</v>
      </c>
      <c r="D88" s="40">
        <v>6</v>
      </c>
      <c r="E88" s="40" t="s">
        <v>356</v>
      </c>
      <c r="F88">
        <v>120</v>
      </c>
    </row>
    <row r="89" spans="2:6" x14ac:dyDescent="0.2">
      <c r="B89" t="s">
        <v>357</v>
      </c>
      <c r="D89" s="40">
        <v>9.5</v>
      </c>
      <c r="E89" s="40" t="s">
        <v>358</v>
      </c>
      <c r="F89">
        <v>114</v>
      </c>
    </row>
    <row r="90" spans="2:6" x14ac:dyDescent="0.2">
      <c r="B90" t="s">
        <v>359</v>
      </c>
      <c r="D90" s="40">
        <v>20</v>
      </c>
      <c r="E90" s="40" t="s">
        <v>360</v>
      </c>
      <c r="F90">
        <v>400</v>
      </c>
    </row>
    <row r="91" spans="2:6" x14ac:dyDescent="0.2">
      <c r="B91" t="s">
        <v>361</v>
      </c>
      <c r="D91" s="40">
        <v>235</v>
      </c>
      <c r="E91" s="40" t="s">
        <v>362</v>
      </c>
      <c r="F91">
        <v>235</v>
      </c>
    </row>
    <row r="92" spans="2:6" x14ac:dyDescent="0.2">
      <c r="B92" t="s">
        <v>363</v>
      </c>
      <c r="D92" s="40">
        <v>195</v>
      </c>
      <c r="E92" s="40" t="s">
        <v>362</v>
      </c>
      <c r="F92">
        <v>195</v>
      </c>
    </row>
    <row r="93" spans="2:6" x14ac:dyDescent="0.2">
      <c r="B93" t="s">
        <v>364</v>
      </c>
      <c r="D93" s="40">
        <v>11.5</v>
      </c>
      <c r="E93" s="40" t="s">
        <v>365</v>
      </c>
      <c r="F93">
        <v>575</v>
      </c>
    </row>
    <row r="94" spans="2:6" x14ac:dyDescent="0.2">
      <c r="B94" t="s">
        <v>366</v>
      </c>
      <c r="D94" s="40">
        <v>44</v>
      </c>
      <c r="E94" s="40" t="s">
        <v>367</v>
      </c>
      <c r="F94">
        <v>44</v>
      </c>
    </row>
    <row r="95" spans="2:6" x14ac:dyDescent="0.2">
      <c r="B95" t="s">
        <v>368</v>
      </c>
      <c r="D95" s="40">
        <v>132</v>
      </c>
      <c r="E95" s="40" t="s">
        <v>369</v>
      </c>
      <c r="F95">
        <v>132</v>
      </c>
    </row>
    <row r="96" spans="2:6" x14ac:dyDescent="0.2">
      <c r="B96" t="s">
        <v>370</v>
      </c>
      <c r="D96" s="40">
        <v>8</v>
      </c>
      <c r="E96" s="40" t="s">
        <v>371</v>
      </c>
      <c r="F96">
        <v>80</v>
      </c>
    </row>
    <row r="97" spans="2:6" x14ac:dyDescent="0.2">
      <c r="B97" t="s">
        <v>372</v>
      </c>
      <c r="D97" s="40">
        <v>3.3</v>
      </c>
      <c r="E97" s="40" t="s">
        <v>373</v>
      </c>
      <c r="F97">
        <v>165</v>
      </c>
    </row>
    <row r="98" spans="2:6" x14ac:dyDescent="0.2">
      <c r="B98" t="s">
        <v>374</v>
      </c>
      <c r="D98" s="40">
        <v>25</v>
      </c>
      <c r="E98" s="40" t="s">
        <v>375</v>
      </c>
      <c r="F98">
        <v>150</v>
      </c>
    </row>
    <row r="99" spans="2:6" x14ac:dyDescent="0.2">
      <c r="B99" t="s">
        <v>376</v>
      </c>
      <c r="D99" s="40">
        <v>22.5</v>
      </c>
      <c r="E99" s="40" t="s">
        <v>377</v>
      </c>
      <c r="F99">
        <v>225</v>
      </c>
    </row>
    <row r="100" spans="2:6" x14ac:dyDescent="0.2">
      <c r="B100" t="s">
        <v>378</v>
      </c>
      <c r="D100" s="40">
        <v>185</v>
      </c>
      <c r="E100" s="40" t="s">
        <v>379</v>
      </c>
      <c r="F100">
        <v>185</v>
      </c>
    </row>
    <row r="101" spans="2:6" x14ac:dyDescent="0.2">
      <c r="B101" t="s">
        <v>380</v>
      </c>
      <c r="D101" s="40">
        <v>15.5</v>
      </c>
      <c r="E101" s="40" t="s">
        <v>381</v>
      </c>
      <c r="F101">
        <v>155</v>
      </c>
    </row>
    <row r="102" spans="2:6" x14ac:dyDescent="0.2">
      <c r="B102" t="s">
        <v>382</v>
      </c>
      <c r="D102" s="40">
        <v>105</v>
      </c>
      <c r="E102" s="40" t="s">
        <v>383</v>
      </c>
      <c r="F102">
        <v>315</v>
      </c>
    </row>
    <row r="104" spans="2:6" x14ac:dyDescent="0.2">
      <c r="B104" s="42">
        <v>244259</v>
      </c>
    </row>
    <row r="106" spans="2:6" x14ac:dyDescent="0.2">
      <c r="B106" t="s">
        <v>351</v>
      </c>
      <c r="D106" s="40" t="s">
        <v>352</v>
      </c>
      <c r="E106" s="40" t="s">
        <v>277</v>
      </c>
      <c r="F106" t="s">
        <v>247</v>
      </c>
    </row>
    <row r="107" spans="2:6" x14ac:dyDescent="0.2">
      <c r="B107" t="s">
        <v>384</v>
      </c>
      <c r="D107" s="40">
        <v>550</v>
      </c>
      <c r="E107" s="40" t="s">
        <v>379</v>
      </c>
      <c r="F107">
        <v>550</v>
      </c>
    </row>
    <row r="108" spans="2:6" x14ac:dyDescent="0.2">
      <c r="B108" t="s">
        <v>385</v>
      </c>
      <c r="D108" s="40">
        <v>40</v>
      </c>
      <c r="E108" s="40" t="s">
        <v>386</v>
      </c>
      <c r="F108">
        <v>80</v>
      </c>
    </row>
    <row r="109" spans="2:6" x14ac:dyDescent="0.2">
      <c r="B109" t="s">
        <v>387</v>
      </c>
      <c r="D109" s="40">
        <v>17</v>
      </c>
      <c r="E109" s="40" t="s">
        <v>377</v>
      </c>
      <c r="F109">
        <v>170</v>
      </c>
    </row>
    <row r="110" spans="2:6" x14ac:dyDescent="0.2">
      <c r="B110" t="s">
        <v>388</v>
      </c>
      <c r="D110" s="40">
        <v>74</v>
      </c>
      <c r="E110" s="40" t="s">
        <v>389</v>
      </c>
      <c r="F110" s="44">
        <v>1110</v>
      </c>
    </row>
    <row r="111" spans="2:6" x14ac:dyDescent="0.2">
      <c r="B111" t="s">
        <v>390</v>
      </c>
      <c r="D111" s="40">
        <v>5.5</v>
      </c>
      <c r="E111" s="40" t="s">
        <v>391</v>
      </c>
      <c r="F111">
        <v>275</v>
      </c>
    </row>
    <row r="112" spans="2:6" x14ac:dyDescent="0.2">
      <c r="B112" t="s">
        <v>392</v>
      </c>
      <c r="D112" s="40">
        <v>251</v>
      </c>
      <c r="E112" s="40" t="s">
        <v>393</v>
      </c>
      <c r="F112">
        <v>251</v>
      </c>
    </row>
    <row r="113" spans="2:6" x14ac:dyDescent="0.2">
      <c r="B113" t="s">
        <v>394</v>
      </c>
      <c r="D113" s="40">
        <v>31.5</v>
      </c>
      <c r="E113" s="40" t="s">
        <v>395</v>
      </c>
      <c r="F113">
        <v>63</v>
      </c>
    </row>
    <row r="114" spans="2:6" x14ac:dyDescent="0.2">
      <c r="B114" t="s">
        <v>396</v>
      </c>
      <c r="D114" s="40">
        <v>93</v>
      </c>
      <c r="E114" s="40" t="s">
        <v>397</v>
      </c>
      <c r="F114">
        <v>465</v>
      </c>
    </row>
    <row r="116" spans="2:6" x14ac:dyDescent="0.2">
      <c r="B116" s="42">
        <v>244259</v>
      </c>
    </row>
    <row r="117" spans="2:6" x14ac:dyDescent="0.2">
      <c r="B117" t="s">
        <v>351</v>
      </c>
      <c r="D117" s="40" t="s">
        <v>352</v>
      </c>
      <c r="E117" s="40" t="s">
        <v>277</v>
      </c>
      <c r="F117" t="s">
        <v>247</v>
      </c>
    </row>
    <row r="118" spans="2:6" x14ac:dyDescent="0.2">
      <c r="B118" t="s">
        <v>398</v>
      </c>
      <c r="D118" s="40">
        <v>13.5</v>
      </c>
      <c r="E118" s="40" t="s">
        <v>268</v>
      </c>
      <c r="F118">
        <v>270</v>
      </c>
    </row>
    <row r="119" spans="2:6" x14ac:dyDescent="0.2">
      <c r="B119" t="s">
        <v>399</v>
      </c>
      <c r="D119" s="40">
        <v>6</v>
      </c>
      <c r="E119" s="40" t="s">
        <v>381</v>
      </c>
      <c r="F119">
        <v>60</v>
      </c>
    </row>
    <row r="120" spans="2:6" x14ac:dyDescent="0.2">
      <c r="B120" t="s">
        <v>400</v>
      </c>
      <c r="D120" s="40">
        <v>17</v>
      </c>
      <c r="E120" s="40" t="s">
        <v>401</v>
      </c>
      <c r="F120">
        <v>51</v>
      </c>
    </row>
    <row r="121" spans="2:6" x14ac:dyDescent="0.2">
      <c r="B121" t="s">
        <v>402</v>
      </c>
      <c r="D121" s="40">
        <v>40</v>
      </c>
      <c r="E121" s="40" t="s">
        <v>403</v>
      </c>
      <c r="F121">
        <v>40</v>
      </c>
    </row>
    <row r="122" spans="2:6" x14ac:dyDescent="0.2">
      <c r="B122" t="s">
        <v>404</v>
      </c>
      <c r="D122" s="40">
        <v>99</v>
      </c>
      <c r="E122" s="40" t="s">
        <v>379</v>
      </c>
      <c r="F122">
        <v>99</v>
      </c>
    </row>
    <row r="123" spans="2:6" x14ac:dyDescent="0.2">
      <c r="B123" t="s">
        <v>405</v>
      </c>
      <c r="D123" s="40">
        <v>50</v>
      </c>
      <c r="E123" s="40" t="s">
        <v>406</v>
      </c>
      <c r="F123">
        <v>500</v>
      </c>
    </row>
    <row r="124" spans="2:6" x14ac:dyDescent="0.2">
      <c r="B124" t="s">
        <v>376</v>
      </c>
      <c r="D124" s="40">
        <v>22.5</v>
      </c>
      <c r="E124" s="40" t="s">
        <v>377</v>
      </c>
      <c r="F124">
        <v>225</v>
      </c>
    </row>
    <row r="125" spans="2:6" x14ac:dyDescent="0.2">
      <c r="B125" t="s">
        <v>407</v>
      </c>
      <c r="D125" s="40">
        <v>5</v>
      </c>
      <c r="E125" s="40" t="s">
        <v>408</v>
      </c>
      <c r="F125">
        <v>100</v>
      </c>
    </row>
    <row r="126" spans="2:6" x14ac:dyDescent="0.2">
      <c r="B126" t="s">
        <v>374</v>
      </c>
      <c r="D126" s="40">
        <v>25</v>
      </c>
      <c r="E126" s="40" t="s">
        <v>409</v>
      </c>
      <c r="F126">
        <v>125</v>
      </c>
    </row>
    <row r="127" spans="2:6" x14ac:dyDescent="0.2">
      <c r="B127" t="s">
        <v>410</v>
      </c>
      <c r="D127" s="40">
        <v>24</v>
      </c>
      <c r="E127" s="40" t="s">
        <v>275</v>
      </c>
      <c r="F127">
        <v>120</v>
      </c>
    </row>
    <row r="128" spans="2:6" x14ac:dyDescent="0.2">
      <c r="B128" t="s">
        <v>411</v>
      </c>
      <c r="D128" s="40">
        <v>12</v>
      </c>
      <c r="E128" s="40" t="s">
        <v>275</v>
      </c>
      <c r="F128">
        <v>60</v>
      </c>
    </row>
    <row r="129" spans="2:6" x14ac:dyDescent="0.2">
      <c r="B129" t="s">
        <v>382</v>
      </c>
      <c r="D129" s="40">
        <v>105</v>
      </c>
      <c r="E129" s="40" t="s">
        <v>412</v>
      </c>
      <c r="F129">
        <v>210</v>
      </c>
    </row>
    <row r="130" spans="2:6" x14ac:dyDescent="0.2">
      <c r="B130" t="s">
        <v>413</v>
      </c>
      <c r="D130" s="40">
        <v>80</v>
      </c>
      <c r="E130" s="40" t="s">
        <v>412</v>
      </c>
      <c r="F130">
        <v>160</v>
      </c>
    </row>
    <row r="131" spans="2:6" x14ac:dyDescent="0.2">
      <c r="B131" t="s">
        <v>414</v>
      </c>
      <c r="D131" s="40">
        <v>267</v>
      </c>
      <c r="E131" s="40" t="s">
        <v>415</v>
      </c>
      <c r="F131">
        <v>267</v>
      </c>
    </row>
    <row r="132" spans="2:6" x14ac:dyDescent="0.2">
      <c r="B132" t="s">
        <v>416</v>
      </c>
      <c r="D132" s="40">
        <v>16</v>
      </c>
      <c r="E132" s="40" t="s">
        <v>386</v>
      </c>
      <c r="F132">
        <v>32</v>
      </c>
    </row>
    <row r="133" spans="2:6" x14ac:dyDescent="0.2">
      <c r="B133" t="s">
        <v>417</v>
      </c>
      <c r="D133" s="40">
        <v>14.5</v>
      </c>
      <c r="E133" s="40" t="s">
        <v>386</v>
      </c>
      <c r="F133">
        <v>29</v>
      </c>
    </row>
    <row r="134" spans="2:6" x14ac:dyDescent="0.2">
      <c r="B134" t="s">
        <v>418</v>
      </c>
      <c r="D134" s="40">
        <v>49</v>
      </c>
      <c r="E134" s="40" t="s">
        <v>419</v>
      </c>
      <c r="F134">
        <v>245</v>
      </c>
    </row>
    <row r="135" spans="2:6" x14ac:dyDescent="0.2">
      <c r="B135" t="s">
        <v>420</v>
      </c>
      <c r="D135" s="40">
        <v>23</v>
      </c>
      <c r="E135" s="40" t="s">
        <v>256</v>
      </c>
      <c r="F135">
        <v>460</v>
      </c>
    </row>
    <row r="136" spans="2:6" x14ac:dyDescent="0.2">
      <c r="B136" t="s">
        <v>421</v>
      </c>
      <c r="D136" s="40">
        <v>12.5</v>
      </c>
      <c r="E136" s="40" t="s">
        <v>381</v>
      </c>
      <c r="F136">
        <v>125</v>
      </c>
    </row>
    <row r="137" spans="2:6" x14ac:dyDescent="0.2">
      <c r="B137" t="s">
        <v>422</v>
      </c>
      <c r="D137" s="40">
        <v>380</v>
      </c>
      <c r="E137" s="40" t="s">
        <v>423</v>
      </c>
      <c r="F137">
        <v>380</v>
      </c>
    </row>
    <row r="138" spans="2:6" x14ac:dyDescent="0.2">
      <c r="B138" t="s">
        <v>424</v>
      </c>
      <c r="D138" s="40">
        <v>6</v>
      </c>
      <c r="E138" s="40" t="s">
        <v>381</v>
      </c>
      <c r="F138">
        <v>60</v>
      </c>
    </row>
    <row r="140" spans="2:6" x14ac:dyDescent="0.2">
      <c r="B140" t="s">
        <v>351</v>
      </c>
      <c r="D140" s="40" t="s">
        <v>352</v>
      </c>
      <c r="E140" s="40" t="s">
        <v>277</v>
      </c>
      <c r="F140" t="s">
        <v>247</v>
      </c>
    </row>
    <row r="141" spans="2:6" x14ac:dyDescent="0.2">
      <c r="B141" t="s">
        <v>425</v>
      </c>
      <c r="D141" s="40">
        <v>56</v>
      </c>
      <c r="E141" s="40" t="s">
        <v>262</v>
      </c>
      <c r="F141">
        <v>56</v>
      </c>
    </row>
    <row r="142" spans="2:6" x14ac:dyDescent="0.2">
      <c r="B142" t="s">
        <v>426</v>
      </c>
      <c r="D142" s="40">
        <v>146</v>
      </c>
      <c r="E142" s="40" t="s">
        <v>395</v>
      </c>
      <c r="F142">
        <v>292</v>
      </c>
    </row>
    <row r="144" spans="2:6" x14ac:dyDescent="0.2">
      <c r="B144" s="42" t="s">
        <v>427</v>
      </c>
    </row>
    <row r="146" spans="2:7" x14ac:dyDescent="0.2">
      <c r="B146" t="s">
        <v>428</v>
      </c>
      <c r="D146" s="40" t="s">
        <v>44</v>
      </c>
      <c r="E146" s="40" t="s">
        <v>429</v>
      </c>
      <c r="F146" t="s">
        <v>430</v>
      </c>
      <c r="G146" t="s">
        <v>431</v>
      </c>
    </row>
    <row r="147" spans="2:7" x14ac:dyDescent="0.2">
      <c r="B147" t="s">
        <v>432</v>
      </c>
      <c r="D147" s="40">
        <v>2</v>
      </c>
      <c r="E147" s="40" t="s">
        <v>50</v>
      </c>
      <c r="F147">
        <v>78</v>
      </c>
      <c r="G147">
        <v>156</v>
      </c>
    </row>
    <row r="148" spans="2:7" x14ac:dyDescent="0.2">
      <c r="B148" t="s">
        <v>433</v>
      </c>
    </row>
    <row r="149" spans="2:7" x14ac:dyDescent="0.2">
      <c r="B149" t="s">
        <v>434</v>
      </c>
      <c r="D149" s="40">
        <v>2</v>
      </c>
      <c r="E149" s="40" t="s">
        <v>435</v>
      </c>
      <c r="F149">
        <v>290</v>
      </c>
      <c r="G149">
        <v>580</v>
      </c>
    </row>
    <row r="150" spans="2:7" x14ac:dyDescent="0.2">
      <c r="B150" t="s">
        <v>436</v>
      </c>
      <c r="D150" s="40">
        <v>1</v>
      </c>
      <c r="E150" s="40" t="s">
        <v>50</v>
      </c>
      <c r="F150">
        <v>125</v>
      </c>
      <c r="G150">
        <v>125</v>
      </c>
    </row>
    <row r="151" spans="2:7" x14ac:dyDescent="0.2">
      <c r="B151" t="s">
        <v>437</v>
      </c>
      <c r="D151" s="40">
        <v>1</v>
      </c>
      <c r="E151" s="40" t="s">
        <v>438</v>
      </c>
      <c r="F151">
        <v>650</v>
      </c>
      <c r="G151">
        <v>650</v>
      </c>
    </row>
    <row r="152" spans="2:7" x14ac:dyDescent="0.2">
      <c r="B152" t="s">
        <v>439</v>
      </c>
      <c r="D152" s="40">
        <v>1</v>
      </c>
      <c r="E152" s="40" t="s">
        <v>440</v>
      </c>
      <c r="F152">
        <v>750</v>
      </c>
      <c r="G152">
        <v>750</v>
      </c>
    </row>
    <row r="153" spans="2:7" x14ac:dyDescent="0.2">
      <c r="B153" t="s">
        <v>441</v>
      </c>
      <c r="D153" s="40">
        <v>1</v>
      </c>
      <c r="E153" s="40" t="s">
        <v>442</v>
      </c>
      <c r="F153">
        <v>230</v>
      </c>
      <c r="G153">
        <v>230</v>
      </c>
    </row>
    <row r="154" spans="2:7" x14ac:dyDescent="0.2">
      <c r="B154" t="s">
        <v>443</v>
      </c>
      <c r="D154" s="40">
        <v>1</v>
      </c>
      <c r="E154" s="40" t="s">
        <v>435</v>
      </c>
      <c r="F154">
        <v>220</v>
      </c>
      <c r="G154">
        <v>220</v>
      </c>
    </row>
    <row r="155" spans="2:7" x14ac:dyDescent="0.2">
      <c r="B155" t="s">
        <v>444</v>
      </c>
      <c r="D155" s="40">
        <v>1</v>
      </c>
      <c r="E155" s="40" t="s">
        <v>50</v>
      </c>
      <c r="F155">
        <v>333</v>
      </c>
      <c r="G155">
        <v>333</v>
      </c>
    </row>
    <row r="157" spans="2:7" x14ac:dyDescent="0.2">
      <c r="B157" s="42">
        <v>244313</v>
      </c>
    </row>
    <row r="159" spans="2:7" x14ac:dyDescent="0.2">
      <c r="D159" s="40" t="s">
        <v>352</v>
      </c>
      <c r="E159" s="40" t="s">
        <v>277</v>
      </c>
      <c r="F159" t="s">
        <v>247</v>
      </c>
    </row>
    <row r="160" spans="2:7" x14ac:dyDescent="0.2">
      <c r="B160" t="s">
        <v>445</v>
      </c>
      <c r="D160" s="40">
        <v>290</v>
      </c>
      <c r="E160" s="40" t="s">
        <v>379</v>
      </c>
      <c r="F160">
        <v>290</v>
      </c>
    </row>
    <row r="161" spans="2:6" x14ac:dyDescent="0.2">
      <c r="B161" t="s">
        <v>446</v>
      </c>
      <c r="D161" s="40">
        <v>215</v>
      </c>
      <c r="E161" s="40" t="s">
        <v>447</v>
      </c>
      <c r="F161">
        <v>215</v>
      </c>
    </row>
    <row r="162" spans="2:6" x14ac:dyDescent="0.2">
      <c r="B162" t="s">
        <v>448</v>
      </c>
      <c r="D162" s="40">
        <v>19</v>
      </c>
      <c r="E162" s="40" t="s">
        <v>386</v>
      </c>
      <c r="F162">
        <v>38</v>
      </c>
    </row>
    <row r="163" spans="2:6" x14ac:dyDescent="0.2">
      <c r="B163" t="s">
        <v>417</v>
      </c>
      <c r="D163" s="40">
        <v>14.5</v>
      </c>
      <c r="E163" s="40" t="s">
        <v>409</v>
      </c>
      <c r="F163">
        <v>72.5</v>
      </c>
    </row>
    <row r="164" spans="2:6" x14ac:dyDescent="0.2">
      <c r="B164" t="s">
        <v>449</v>
      </c>
      <c r="D164" s="40">
        <v>19.5</v>
      </c>
      <c r="E164" s="40" t="s">
        <v>450</v>
      </c>
      <c r="F164">
        <v>195</v>
      </c>
    </row>
    <row r="165" spans="2:6" x14ac:dyDescent="0.2">
      <c r="B165" t="s">
        <v>451</v>
      </c>
      <c r="D165" s="40">
        <v>1.75</v>
      </c>
      <c r="E165" s="40" t="s">
        <v>452</v>
      </c>
      <c r="F165">
        <v>105</v>
      </c>
    </row>
    <row r="166" spans="2:6" x14ac:dyDescent="0.2">
      <c r="B166" t="s">
        <v>453</v>
      </c>
      <c r="D166" s="40">
        <v>12.75</v>
      </c>
      <c r="E166" s="40" t="s">
        <v>454</v>
      </c>
      <c r="F166">
        <v>153</v>
      </c>
    </row>
    <row r="167" spans="2:6" x14ac:dyDescent="0.2">
      <c r="B167" t="s">
        <v>455</v>
      </c>
      <c r="D167" s="40">
        <v>15</v>
      </c>
      <c r="E167" s="40" t="s">
        <v>450</v>
      </c>
      <c r="F167">
        <v>150</v>
      </c>
    </row>
    <row r="168" spans="2:6" x14ac:dyDescent="0.2">
      <c r="B168" t="s">
        <v>456</v>
      </c>
      <c r="D168" s="40">
        <v>9.5</v>
      </c>
      <c r="E168" s="40" t="s">
        <v>450</v>
      </c>
      <c r="F168">
        <v>95</v>
      </c>
    </row>
    <row r="169" spans="2:6" x14ac:dyDescent="0.2">
      <c r="B169" t="s">
        <v>457</v>
      </c>
      <c r="D169" s="40">
        <v>15</v>
      </c>
      <c r="E169" s="40" t="s">
        <v>450</v>
      </c>
      <c r="F169">
        <v>150</v>
      </c>
    </row>
    <row r="170" spans="2:6" x14ac:dyDescent="0.2">
      <c r="B170" t="s">
        <v>458</v>
      </c>
      <c r="D170" s="40">
        <v>15.5</v>
      </c>
      <c r="E170" s="40" t="s">
        <v>450</v>
      </c>
      <c r="F170">
        <v>155</v>
      </c>
    </row>
    <row r="171" spans="2:6" x14ac:dyDescent="0.2">
      <c r="B171" t="s">
        <v>459</v>
      </c>
      <c r="D171" s="40">
        <v>18</v>
      </c>
      <c r="E171" s="40" t="s">
        <v>450</v>
      </c>
      <c r="F171">
        <v>180</v>
      </c>
    </row>
    <row r="172" spans="2:6" x14ac:dyDescent="0.2">
      <c r="B172" t="s">
        <v>460</v>
      </c>
      <c r="D172" s="40">
        <v>345</v>
      </c>
      <c r="E172" s="40" t="s">
        <v>461</v>
      </c>
      <c r="F172">
        <v>345</v>
      </c>
    </row>
    <row r="173" spans="2:6" x14ac:dyDescent="0.2">
      <c r="B173" t="s">
        <v>255</v>
      </c>
      <c r="D173" s="40">
        <v>16.8</v>
      </c>
      <c r="E173" s="40" t="s">
        <v>256</v>
      </c>
      <c r="F173">
        <v>336</v>
      </c>
    </row>
    <row r="176" spans="2:6" x14ac:dyDescent="0.2">
      <c r="B176" s="42">
        <v>244321</v>
      </c>
    </row>
    <row r="177" spans="2:6" x14ac:dyDescent="0.2">
      <c r="D177" s="40" t="s">
        <v>277</v>
      </c>
      <c r="E177" s="40" t="s">
        <v>278</v>
      </c>
      <c r="F177" t="s">
        <v>247</v>
      </c>
    </row>
    <row r="178" spans="2:6" x14ac:dyDescent="0.2">
      <c r="B178" t="s">
        <v>462</v>
      </c>
      <c r="D178" s="40" t="s">
        <v>320</v>
      </c>
      <c r="E178" s="40">
        <v>56</v>
      </c>
      <c r="F178">
        <v>56</v>
      </c>
    </row>
    <row r="179" spans="2:6" x14ac:dyDescent="0.2">
      <c r="B179" t="s">
        <v>463</v>
      </c>
      <c r="D179" s="40" t="s">
        <v>298</v>
      </c>
      <c r="E179" s="40">
        <v>124</v>
      </c>
      <c r="F179">
        <v>248</v>
      </c>
    </row>
    <row r="180" spans="2:6" x14ac:dyDescent="0.2">
      <c r="B180" t="s">
        <v>464</v>
      </c>
      <c r="D180" s="40" t="s">
        <v>465</v>
      </c>
      <c r="E180" s="40">
        <v>190</v>
      </c>
      <c r="F180">
        <v>570</v>
      </c>
    </row>
    <row r="181" spans="2:6" x14ac:dyDescent="0.2">
      <c r="B181" t="s">
        <v>466</v>
      </c>
      <c r="D181" s="40" t="s">
        <v>286</v>
      </c>
      <c r="E181" s="40">
        <v>128.75</v>
      </c>
      <c r="F181">
        <v>386.25</v>
      </c>
    </row>
    <row r="182" spans="2:6" x14ac:dyDescent="0.2">
      <c r="B182" t="s">
        <v>467</v>
      </c>
      <c r="D182" s="40" t="s">
        <v>337</v>
      </c>
      <c r="E182" s="40">
        <v>54.75</v>
      </c>
      <c r="F182">
        <v>109.5</v>
      </c>
    </row>
    <row r="183" spans="2:6" x14ac:dyDescent="0.2">
      <c r="B183" t="s">
        <v>468</v>
      </c>
      <c r="D183" s="40" t="s">
        <v>320</v>
      </c>
      <c r="E183" s="40">
        <v>315</v>
      </c>
      <c r="F183">
        <v>315</v>
      </c>
    </row>
    <row r="184" spans="2:6" x14ac:dyDescent="0.2">
      <c r="B184" t="s">
        <v>469</v>
      </c>
      <c r="D184" s="40" t="s">
        <v>286</v>
      </c>
      <c r="E184" s="40">
        <v>35.5</v>
      </c>
      <c r="F184">
        <v>106.5</v>
      </c>
    </row>
    <row r="185" spans="2:6" x14ac:dyDescent="0.2">
      <c r="B185" t="s">
        <v>470</v>
      </c>
      <c r="D185" s="40" t="s">
        <v>320</v>
      </c>
      <c r="E185" s="40">
        <v>229</v>
      </c>
      <c r="F185">
        <v>229</v>
      </c>
    </row>
    <row r="186" spans="2:6" x14ac:dyDescent="0.2">
      <c r="B186" t="s">
        <v>471</v>
      </c>
      <c r="D186" s="40" t="s">
        <v>322</v>
      </c>
      <c r="E186" s="40">
        <v>35</v>
      </c>
      <c r="F186">
        <v>350</v>
      </c>
    </row>
    <row r="187" spans="2:6" x14ac:dyDescent="0.2">
      <c r="B187" t="s">
        <v>472</v>
      </c>
      <c r="D187" s="40" t="s">
        <v>320</v>
      </c>
      <c r="E187" s="40">
        <v>45</v>
      </c>
      <c r="F187">
        <v>45</v>
      </c>
    </row>
    <row r="188" spans="2:6" x14ac:dyDescent="0.2">
      <c r="B188" t="s">
        <v>473</v>
      </c>
      <c r="D188" s="40" t="s">
        <v>320</v>
      </c>
      <c r="E188" s="40">
        <v>55</v>
      </c>
      <c r="F188">
        <v>55</v>
      </c>
    </row>
    <row r="189" spans="2:6" x14ac:dyDescent="0.2">
      <c r="B189" t="s">
        <v>474</v>
      </c>
      <c r="D189" s="40" t="s">
        <v>320</v>
      </c>
      <c r="E189" s="40">
        <v>75</v>
      </c>
      <c r="F189">
        <v>75</v>
      </c>
    </row>
    <row r="190" spans="2:6" x14ac:dyDescent="0.2">
      <c r="B190" t="s">
        <v>475</v>
      </c>
      <c r="D190" s="40" t="s">
        <v>476</v>
      </c>
      <c r="E190" s="40">
        <v>185</v>
      </c>
      <c r="F190">
        <v>185</v>
      </c>
    </row>
    <row r="193" spans="2:6" x14ac:dyDescent="0.2">
      <c r="B193" s="42">
        <v>244365</v>
      </c>
    </row>
    <row r="194" spans="2:6" x14ac:dyDescent="0.2">
      <c r="D194" s="40" t="s">
        <v>352</v>
      </c>
      <c r="E194" s="40" t="s">
        <v>277</v>
      </c>
      <c r="F194" s="40" t="s">
        <v>247</v>
      </c>
    </row>
    <row r="195" spans="2:6" x14ac:dyDescent="0.2">
      <c r="B195" t="s">
        <v>477</v>
      </c>
      <c r="D195" s="40">
        <v>1.7</v>
      </c>
      <c r="E195" s="40" t="s">
        <v>478</v>
      </c>
      <c r="F195" s="40">
        <v>170</v>
      </c>
    </row>
    <row r="196" spans="2:6" x14ac:dyDescent="0.2">
      <c r="B196" t="s">
        <v>479</v>
      </c>
      <c r="D196" s="40">
        <v>11</v>
      </c>
      <c r="E196" s="40" t="s">
        <v>268</v>
      </c>
      <c r="F196" s="40">
        <v>220</v>
      </c>
    </row>
    <row r="197" spans="2:6" x14ac:dyDescent="0.2">
      <c r="B197" t="s">
        <v>480</v>
      </c>
      <c r="D197" s="40">
        <v>9.5</v>
      </c>
      <c r="E197" s="40" t="s">
        <v>268</v>
      </c>
      <c r="F197" s="40">
        <v>190</v>
      </c>
    </row>
    <row r="198" spans="2:6" x14ac:dyDescent="0.2">
      <c r="B198" t="s">
        <v>376</v>
      </c>
      <c r="D198" s="40">
        <v>22.5</v>
      </c>
      <c r="E198" s="40" t="s">
        <v>481</v>
      </c>
      <c r="F198" s="40">
        <v>270</v>
      </c>
    </row>
    <row r="199" spans="2:6" x14ac:dyDescent="0.2">
      <c r="B199" t="s">
        <v>482</v>
      </c>
      <c r="D199" s="40">
        <v>2.9</v>
      </c>
      <c r="E199" s="40" t="s">
        <v>483</v>
      </c>
      <c r="F199" s="40">
        <v>29</v>
      </c>
    </row>
    <row r="200" spans="2:6" x14ac:dyDescent="0.2">
      <c r="B200" t="s">
        <v>484</v>
      </c>
      <c r="D200" s="40">
        <v>87</v>
      </c>
      <c r="E200" s="40" t="s">
        <v>381</v>
      </c>
      <c r="F200" s="40">
        <v>261</v>
      </c>
    </row>
    <row r="201" spans="2:6" x14ac:dyDescent="0.2">
      <c r="B201" t="s">
        <v>485</v>
      </c>
      <c r="D201" s="40">
        <v>6.8</v>
      </c>
      <c r="E201" s="40" t="s">
        <v>486</v>
      </c>
      <c r="F201" s="40">
        <v>68</v>
      </c>
    </row>
    <row r="202" spans="2:6" x14ac:dyDescent="0.2">
      <c r="B202" t="s">
        <v>487</v>
      </c>
      <c r="D202" s="40">
        <v>26.5</v>
      </c>
      <c r="E202" s="40" t="s">
        <v>381</v>
      </c>
      <c r="F202" s="40">
        <v>53</v>
      </c>
    </row>
    <row r="203" spans="2:6" x14ac:dyDescent="0.2">
      <c r="B203" t="s">
        <v>488</v>
      </c>
      <c r="D203" s="40">
        <v>40</v>
      </c>
      <c r="E203" s="40" t="s">
        <v>386</v>
      </c>
      <c r="F203" s="40">
        <v>400</v>
      </c>
    </row>
    <row r="204" spans="2:6" x14ac:dyDescent="0.2">
      <c r="B204" t="s">
        <v>489</v>
      </c>
      <c r="D204" s="40">
        <v>605</v>
      </c>
      <c r="E204" s="40" t="s">
        <v>386</v>
      </c>
      <c r="F204" s="45">
        <v>1210</v>
      </c>
    </row>
    <row r="205" spans="2:6" x14ac:dyDescent="0.2">
      <c r="B205" t="s">
        <v>490</v>
      </c>
      <c r="D205" s="40">
        <v>155</v>
      </c>
      <c r="E205" s="40" t="s">
        <v>491</v>
      </c>
      <c r="F205" s="40">
        <v>310</v>
      </c>
    </row>
    <row r="206" spans="2:6" x14ac:dyDescent="0.2">
      <c r="B206" t="s">
        <v>492</v>
      </c>
      <c r="D206" s="40">
        <v>49</v>
      </c>
      <c r="E206" s="40" t="s">
        <v>493</v>
      </c>
      <c r="F206" s="40">
        <v>245</v>
      </c>
    </row>
    <row r="207" spans="2:6" x14ac:dyDescent="0.2">
      <c r="B207" t="s">
        <v>494</v>
      </c>
      <c r="D207" s="40">
        <v>71</v>
      </c>
      <c r="E207" s="40" t="s">
        <v>454</v>
      </c>
      <c r="F207" s="40">
        <v>142</v>
      </c>
    </row>
    <row r="208" spans="2:6" x14ac:dyDescent="0.2">
      <c r="B208" t="s">
        <v>495</v>
      </c>
      <c r="D208" s="40">
        <v>33</v>
      </c>
      <c r="E208" s="40" t="s">
        <v>496</v>
      </c>
      <c r="F208" s="40">
        <v>396</v>
      </c>
    </row>
    <row r="209" spans="2:6" x14ac:dyDescent="0.2">
      <c r="B209" t="s">
        <v>420</v>
      </c>
      <c r="D209" s="40">
        <v>19.5</v>
      </c>
      <c r="E209" s="40" t="s">
        <v>273</v>
      </c>
      <c r="F209" s="40">
        <v>390</v>
      </c>
    </row>
    <row r="210" spans="2:6" x14ac:dyDescent="0.2">
      <c r="B210" t="s">
        <v>497</v>
      </c>
      <c r="D210" s="40">
        <v>24</v>
      </c>
      <c r="E210" s="40" t="s">
        <v>273</v>
      </c>
      <c r="F210" s="40">
        <v>72</v>
      </c>
    </row>
    <row r="211" spans="2:6" x14ac:dyDescent="0.2">
      <c r="B211" t="s">
        <v>498</v>
      </c>
      <c r="D211" s="40">
        <v>30</v>
      </c>
      <c r="E211" s="40" t="s">
        <v>256</v>
      </c>
      <c r="F211" s="40">
        <v>90</v>
      </c>
    </row>
    <row r="212" spans="2:6" x14ac:dyDescent="0.2">
      <c r="B212" t="s">
        <v>499</v>
      </c>
      <c r="D212" s="40">
        <v>30</v>
      </c>
      <c r="E212" s="40" t="s">
        <v>500</v>
      </c>
      <c r="F212" s="40">
        <v>90</v>
      </c>
    </row>
    <row r="213" spans="2:6" x14ac:dyDescent="0.2">
      <c r="B213" t="s">
        <v>501</v>
      </c>
      <c r="D213" s="40">
        <v>9</v>
      </c>
      <c r="E213" s="40" t="s">
        <v>502</v>
      </c>
      <c r="F213" s="40">
        <v>225</v>
      </c>
    </row>
    <row r="214" spans="2:6" x14ac:dyDescent="0.2">
      <c r="B214" t="s">
        <v>255</v>
      </c>
      <c r="D214" s="40">
        <v>16.8</v>
      </c>
      <c r="E214" s="40" t="s">
        <v>266</v>
      </c>
      <c r="F214" s="40">
        <v>336</v>
      </c>
    </row>
    <row r="215" spans="2:6" x14ac:dyDescent="0.2">
      <c r="B215" t="s">
        <v>503</v>
      </c>
      <c r="D215" s="40">
        <v>32</v>
      </c>
      <c r="E215" s="40">
        <v>1</v>
      </c>
      <c r="F215" s="40">
        <v>32</v>
      </c>
    </row>
    <row r="216" spans="2:6" x14ac:dyDescent="0.2">
      <c r="B216" t="s">
        <v>504</v>
      </c>
      <c r="D216" s="40">
        <v>2.5</v>
      </c>
      <c r="E216" s="40" t="s">
        <v>381</v>
      </c>
      <c r="F216" s="40">
        <v>25</v>
      </c>
    </row>
    <row r="219" spans="2:6" x14ac:dyDescent="0.2">
      <c r="B219" s="42">
        <v>244379</v>
      </c>
      <c r="D219" s="40" t="s">
        <v>277</v>
      </c>
      <c r="E219" s="40" t="s">
        <v>278</v>
      </c>
      <c r="F219" t="s">
        <v>247</v>
      </c>
    </row>
    <row r="220" spans="2:6" x14ac:dyDescent="0.2">
      <c r="B220" t="s">
        <v>505</v>
      </c>
      <c r="D220" s="40" t="s">
        <v>337</v>
      </c>
      <c r="E220" s="40">
        <v>97</v>
      </c>
      <c r="F220">
        <v>194</v>
      </c>
    </row>
    <row r="221" spans="2:6" x14ac:dyDescent="0.2">
      <c r="B221" t="s">
        <v>506</v>
      </c>
      <c r="D221" s="40" t="s">
        <v>507</v>
      </c>
      <c r="E221" s="40">
        <v>56</v>
      </c>
      <c r="F221">
        <v>168</v>
      </c>
    </row>
    <row r="222" spans="2:6" x14ac:dyDescent="0.2">
      <c r="B222" t="s">
        <v>508</v>
      </c>
      <c r="D222" s="40" t="s">
        <v>509</v>
      </c>
      <c r="E222" s="40">
        <v>475</v>
      </c>
      <c r="F222">
        <v>475</v>
      </c>
    </row>
    <row r="223" spans="2:6" x14ac:dyDescent="0.2">
      <c r="B223" t="s">
        <v>510</v>
      </c>
      <c r="D223" s="40" t="s">
        <v>511</v>
      </c>
      <c r="E223" s="40">
        <v>167</v>
      </c>
      <c r="F223">
        <v>501</v>
      </c>
    </row>
    <row r="224" spans="2:6" x14ac:dyDescent="0.2">
      <c r="B224" t="s">
        <v>512</v>
      </c>
      <c r="D224" s="40" t="s">
        <v>513</v>
      </c>
      <c r="E224" s="40">
        <v>24</v>
      </c>
      <c r="F224">
        <v>144</v>
      </c>
    </row>
    <row r="225" spans="2:6" x14ac:dyDescent="0.2">
      <c r="B225" t="s">
        <v>514</v>
      </c>
      <c r="D225" s="40" t="s">
        <v>515</v>
      </c>
      <c r="E225" s="40">
        <v>32</v>
      </c>
      <c r="F225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1.Stock new2569</vt:lpstr>
      <vt:lpstr>ชื่อยา</vt:lpstr>
      <vt:lpstr>ยารอบใหม่ รอลงไฟล์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NW.hemodialysis2024@hotmail.com</dc:creator>
  <cp:lastModifiedBy>NW.hemodialysis2024@hotmail.com</cp:lastModifiedBy>
  <cp:lastPrinted>2026-08-04T01:24:45Z</cp:lastPrinted>
  <dcterms:created xsi:type="dcterms:W3CDTF">2024-11-20T08:49:35Z</dcterms:created>
  <dcterms:modified xsi:type="dcterms:W3CDTF">2026-08-19T06:42:36Z</dcterms:modified>
</cp:coreProperties>
</file>